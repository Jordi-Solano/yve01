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L:\DELPHI\AAA SIN PAPELES\DEF\2025\07 JUL\251527287 Strata Abbvie\"/>
    </mc:Choice>
  </mc:AlternateContent>
  <xr:revisionPtr revIDLastSave="0" documentId="13_ncr:1_{0D15686E-34B4-43D5-9EA6-87D8FB79B194}" xr6:coauthVersionLast="47" xr6:coauthVersionMax="47" xr10:uidLastSave="{00000000-0000-0000-0000-000000000000}"/>
  <bookViews>
    <workbookView xWindow="-120" yWindow="-120" windowWidth="29040" windowHeight="15840" tabRatio="927" firstSheet="1" activeTab="1" xr2:uid="{00000000-000D-0000-FFFF-FFFF00000000}"/>
  </bookViews>
  <sheets>
    <sheet name="HHpoints" sheetId="10" state="hidden" r:id="rId1"/>
    <sheet name="Rooming Template" sheetId="5" r:id="rId2"/>
  </sheets>
  <externalReferences>
    <externalReference r:id="rId3"/>
  </externalReferences>
  <definedNames>
    <definedName name="_xlnm._FilterDatabase" localSheetId="1" hidden="1">'Rooming Template'!$A$3:$R$81</definedName>
    <definedName name="_xlnm.Print_Area" localSheetId="1">'Rooming Template'!$H$3:$R$85</definedName>
    <definedName name="_xlnm.Print_Titles" localSheetId="1">'Rooming Template'!$3:$3</definedName>
    <definedName name="RoomType" localSheetId="0">'[1]Room Type'!$AH$14:$AV$97</definedName>
    <definedName name="RoomType">#REF!</definedName>
    <definedName name="RoomTypeSkyVi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5" l="1"/>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36" i="5"/>
  <c r="L37" i="5"/>
  <c r="L38" i="5"/>
  <c r="L39" i="5"/>
  <c r="L40" i="5"/>
  <c r="L41" i="5"/>
  <c r="L42" i="5"/>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P79" i="5"/>
  <c r="P2" i="5"/>
  <c r="M81" i="5" s="1"/>
  <c r="N81" i="5" s="1"/>
  <c r="O81" i="5" s="1"/>
  <c r="Q78" i="5"/>
  <c r="Q80" i="5" s="1"/>
  <c r="L87" i="5"/>
  <c r="L90" i="5"/>
  <c r="L91" i="5"/>
  <c r="L98" i="5"/>
  <c r="L99" i="5"/>
  <c r="L106" i="5"/>
  <c r="L107" i="5"/>
  <c r="L114" i="5"/>
  <c r="L115" i="5"/>
  <c r="L122" i="5"/>
  <c r="L123" i="5"/>
  <c r="L88" i="5"/>
  <c r="L97" i="5"/>
  <c r="L103" i="5"/>
  <c r="L104" i="5"/>
  <c r="L109" i="5"/>
  <c r="L110" i="5"/>
  <c r="L116" i="5"/>
  <c r="L134" i="5"/>
  <c r="L135" i="5"/>
  <c r="L142" i="5"/>
  <c r="L143" i="5"/>
  <c r="L150" i="5"/>
  <c r="L151" i="5"/>
  <c r="L158" i="5"/>
  <c r="L159" i="5"/>
  <c r="L166" i="5"/>
  <c r="L167" i="5"/>
  <c r="L174" i="5"/>
  <c r="L175" i="5"/>
  <c r="L182" i="5"/>
  <c r="L183" i="5"/>
  <c r="L95" i="5"/>
  <c r="L96" i="5"/>
  <c r="L101" i="5"/>
  <c r="L102" i="5"/>
  <c r="L108" i="5"/>
  <c r="L121" i="5"/>
  <c r="L127" i="5"/>
  <c r="L128" i="5"/>
  <c r="L129" i="5"/>
  <c r="L136" i="5"/>
  <c r="L137" i="5"/>
  <c r="L89" i="5"/>
  <c r="L93" i="5"/>
  <c r="L94" i="5"/>
  <c r="L100" i="5"/>
  <c r="L113" i="5"/>
  <c r="L119" i="5"/>
  <c r="L120" i="5"/>
  <c r="L125" i="5"/>
  <c r="L126" i="5"/>
  <c r="L130" i="5"/>
  <c r="L131" i="5"/>
  <c r="L138" i="5"/>
  <c r="L139" i="5"/>
  <c r="L146" i="5"/>
  <c r="L147" i="5"/>
  <c r="L154" i="5"/>
  <c r="L155" i="5"/>
  <c r="L162" i="5"/>
  <c r="L163" i="5"/>
  <c r="L170" i="5"/>
  <c r="L171" i="5"/>
  <c r="L178" i="5"/>
  <c r="L179" i="5"/>
  <c r="L186" i="5"/>
  <c r="L187" i="5"/>
  <c r="L194" i="5"/>
  <c r="L195" i="5"/>
  <c r="L202" i="5"/>
  <c r="L203" i="5"/>
  <c r="L207" i="5"/>
  <c r="L209" i="5"/>
  <c r="L211" i="5"/>
  <c r="L213" i="5"/>
  <c r="L215" i="5"/>
  <c r="L217" i="5"/>
  <c r="L219" i="5"/>
  <c r="L118" i="5"/>
  <c r="L148" i="5"/>
  <c r="L157" i="5"/>
  <c r="L164" i="5"/>
  <c r="L173" i="5"/>
  <c r="L180" i="5"/>
  <c r="L188" i="5"/>
  <c r="L201" i="5"/>
  <c r="L184" i="5"/>
  <c r="L214" i="5"/>
  <c r="L105" i="5"/>
  <c r="L124" i="5"/>
  <c r="L132" i="5"/>
  <c r="L145" i="5"/>
  <c r="L152" i="5"/>
  <c r="L161" i="5"/>
  <c r="L168" i="5"/>
  <c r="L193" i="5"/>
  <c r="L199" i="5"/>
  <c r="L92" i="5"/>
  <c r="L111" i="5"/>
  <c r="L133" i="5"/>
  <c r="L140" i="5"/>
  <c r="L149" i="5"/>
  <c r="L156" i="5"/>
  <c r="L165" i="5"/>
  <c r="L172" i="5"/>
  <c r="L181" i="5"/>
  <c r="L191" i="5"/>
  <c r="L192" i="5"/>
  <c r="L197" i="5"/>
  <c r="L198" i="5"/>
  <c r="L204" i="5"/>
  <c r="L208" i="5"/>
  <c r="L216" i="5"/>
  <c r="L112" i="5"/>
  <c r="L117" i="5"/>
  <c r="L141" i="5"/>
  <c r="L144" i="5"/>
  <c r="L153" i="5"/>
  <c r="L160" i="5"/>
  <c r="L169" i="5"/>
  <c r="L176" i="5"/>
  <c r="L185" i="5"/>
  <c r="L189" i="5"/>
  <c r="L190" i="5"/>
  <c r="L196" i="5"/>
  <c r="L210" i="5"/>
  <c r="L218" i="5"/>
  <c r="L212" i="5"/>
  <c r="L220" i="5"/>
  <c r="L177" i="5"/>
  <c r="L200" i="5"/>
  <c r="L205" i="5"/>
  <c r="L206" i="5"/>
  <c r="L78" i="5" l="1"/>
  <c r="L80" i="5" s="1"/>
  <c r="L2" i="5"/>
  <c r="M3" i="5" l="1"/>
  <c r="C11" i="10"/>
  <c r="D11" i="10" s="1"/>
  <c r="C9" i="10"/>
  <c r="B12" i="10"/>
  <c r="M21" i="5" l="1"/>
  <c r="M67" i="5"/>
  <c r="M4" i="5"/>
  <c r="M6" i="5"/>
  <c r="M8" i="5"/>
  <c r="M10" i="5"/>
  <c r="M12" i="5"/>
  <c r="M14" i="5"/>
  <c r="M16" i="5"/>
  <c r="M18" i="5"/>
  <c r="M20" i="5"/>
  <c r="M22" i="5"/>
  <c r="M24" i="5"/>
  <c r="M26" i="5"/>
  <c r="M28" i="5"/>
  <c r="M30" i="5"/>
  <c r="M32" i="5"/>
  <c r="M34" i="5"/>
  <c r="M36" i="5"/>
  <c r="M38" i="5"/>
  <c r="M40" i="5"/>
  <c r="M42" i="5"/>
  <c r="M44" i="5"/>
  <c r="M46" i="5"/>
  <c r="M48" i="5"/>
  <c r="M50" i="5"/>
  <c r="M52" i="5"/>
  <c r="M54" i="5"/>
  <c r="M56" i="5"/>
  <c r="M58" i="5"/>
  <c r="M60" i="5"/>
  <c r="M62" i="5"/>
  <c r="M64" i="5"/>
  <c r="M66" i="5"/>
  <c r="M68" i="5"/>
  <c r="M70" i="5"/>
  <c r="M33" i="5"/>
  <c r="M51" i="5"/>
  <c r="M59" i="5"/>
  <c r="M63" i="5"/>
  <c r="M69" i="5"/>
  <c r="M5" i="5"/>
  <c r="M7" i="5"/>
  <c r="M9" i="5"/>
  <c r="M11" i="5"/>
  <c r="M13" i="5"/>
  <c r="M15" i="5"/>
  <c r="M17" i="5"/>
  <c r="M19" i="5"/>
  <c r="M23" i="5"/>
  <c r="M25" i="5"/>
  <c r="M27" i="5"/>
  <c r="M29" i="5"/>
  <c r="M31" i="5"/>
  <c r="M35" i="5"/>
  <c r="M37" i="5"/>
  <c r="M39" i="5"/>
  <c r="M41" i="5"/>
  <c r="M43" i="5"/>
  <c r="M45" i="5"/>
  <c r="M47" i="5"/>
  <c r="M49" i="5"/>
  <c r="M53" i="5"/>
  <c r="M55" i="5"/>
  <c r="M57" i="5"/>
  <c r="M61" i="5"/>
  <c r="M65" i="5"/>
  <c r="M74" i="5"/>
  <c r="M71" i="5"/>
  <c r="M75" i="5"/>
  <c r="M72" i="5"/>
  <c r="M73" i="5"/>
  <c r="M76" i="5"/>
  <c r="M77" i="5"/>
  <c r="M88" i="5"/>
  <c r="M90" i="5"/>
  <c r="M92" i="5"/>
  <c r="M94" i="5"/>
  <c r="M96" i="5"/>
  <c r="M98" i="5"/>
  <c r="M100" i="5"/>
  <c r="M102" i="5"/>
  <c r="M104" i="5"/>
  <c r="M106" i="5"/>
  <c r="M108" i="5"/>
  <c r="M110" i="5"/>
  <c r="M112" i="5"/>
  <c r="M114" i="5"/>
  <c r="M116" i="5"/>
  <c r="M118" i="5"/>
  <c r="M120" i="5"/>
  <c r="M122" i="5"/>
  <c r="M124" i="5"/>
  <c r="M126" i="5"/>
  <c r="M89" i="5"/>
  <c r="M97" i="5"/>
  <c r="M105" i="5"/>
  <c r="M113" i="5"/>
  <c r="M121" i="5"/>
  <c r="M128" i="5"/>
  <c r="M130" i="5"/>
  <c r="M132" i="5"/>
  <c r="M134" i="5"/>
  <c r="M136" i="5"/>
  <c r="M138" i="5"/>
  <c r="M140" i="5"/>
  <c r="M142" i="5"/>
  <c r="M144" i="5"/>
  <c r="M146" i="5"/>
  <c r="M148" i="5"/>
  <c r="M150" i="5"/>
  <c r="M152" i="5"/>
  <c r="M154" i="5"/>
  <c r="M156" i="5"/>
  <c r="M158" i="5"/>
  <c r="M160" i="5"/>
  <c r="M162" i="5"/>
  <c r="M164" i="5"/>
  <c r="M166" i="5"/>
  <c r="M168" i="5"/>
  <c r="M170" i="5"/>
  <c r="M172" i="5"/>
  <c r="M174" i="5"/>
  <c r="M176" i="5"/>
  <c r="M178" i="5"/>
  <c r="M180" i="5"/>
  <c r="M182" i="5"/>
  <c r="M184" i="5"/>
  <c r="M186" i="5"/>
  <c r="M188" i="5"/>
  <c r="M190" i="5"/>
  <c r="M192" i="5"/>
  <c r="M194" i="5"/>
  <c r="M196" i="5"/>
  <c r="M198" i="5"/>
  <c r="M200" i="5"/>
  <c r="M202" i="5"/>
  <c r="M204" i="5"/>
  <c r="M91" i="5"/>
  <c r="M111" i="5"/>
  <c r="M117" i="5"/>
  <c r="M123" i="5"/>
  <c r="M133" i="5"/>
  <c r="M141" i="5"/>
  <c r="M149" i="5"/>
  <c r="M157" i="5"/>
  <c r="M165" i="5"/>
  <c r="M173" i="5"/>
  <c r="M181" i="5"/>
  <c r="M103" i="5"/>
  <c r="M109" i="5"/>
  <c r="M115" i="5"/>
  <c r="M135" i="5"/>
  <c r="M143" i="5"/>
  <c r="M87" i="5"/>
  <c r="M95" i="5"/>
  <c r="M101" i="5"/>
  <c r="M107" i="5"/>
  <c r="M127" i="5"/>
  <c r="M129" i="5"/>
  <c r="M137" i="5"/>
  <c r="M145" i="5"/>
  <c r="M153" i="5"/>
  <c r="M161" i="5"/>
  <c r="M169" i="5"/>
  <c r="M177" i="5"/>
  <c r="M185" i="5"/>
  <c r="M193" i="5"/>
  <c r="M201" i="5"/>
  <c r="M99" i="5"/>
  <c r="M131" i="5"/>
  <c r="M155" i="5"/>
  <c r="M171" i="5"/>
  <c r="M195" i="5"/>
  <c r="M210" i="5"/>
  <c r="M219" i="5"/>
  <c r="M119" i="5"/>
  <c r="M139" i="5"/>
  <c r="M159" i="5"/>
  <c r="M175" i="5"/>
  <c r="M187" i="5"/>
  <c r="M212" i="5"/>
  <c r="M220" i="5"/>
  <c r="M125" i="5"/>
  <c r="M147" i="5"/>
  <c r="M163" i="5"/>
  <c r="M179" i="5"/>
  <c r="M199" i="5"/>
  <c r="M205" i="5"/>
  <c r="M206" i="5"/>
  <c r="M207" i="5"/>
  <c r="M214" i="5"/>
  <c r="M215" i="5"/>
  <c r="M93" i="5"/>
  <c r="M151" i="5"/>
  <c r="M167" i="5"/>
  <c r="M183" i="5"/>
  <c r="M191" i="5"/>
  <c r="M197" i="5"/>
  <c r="M203" i="5"/>
  <c r="M208" i="5"/>
  <c r="M209" i="5"/>
  <c r="M216" i="5"/>
  <c r="M217" i="5"/>
  <c r="M189" i="5"/>
  <c r="M211" i="5"/>
  <c r="M218" i="5"/>
  <c r="M213" i="5"/>
  <c r="L1" i="5"/>
  <c r="N3" i="5"/>
  <c r="N4" i="5" l="1"/>
  <c r="N8" i="5"/>
  <c r="N12" i="5"/>
  <c r="N16" i="5"/>
  <c r="N20" i="5"/>
  <c r="N24" i="5"/>
  <c r="N28" i="5"/>
  <c r="N32" i="5"/>
  <c r="N36" i="5"/>
  <c r="N40" i="5"/>
  <c r="N44" i="5"/>
  <c r="N48" i="5"/>
  <c r="N52" i="5"/>
  <c r="N56" i="5"/>
  <c r="N60" i="5"/>
  <c r="N64" i="5"/>
  <c r="N68" i="5"/>
  <c r="N72" i="5"/>
  <c r="N76" i="5"/>
  <c r="N5" i="5"/>
  <c r="N9" i="5"/>
  <c r="N13" i="5"/>
  <c r="N17" i="5"/>
  <c r="N21" i="5"/>
  <c r="N25" i="5"/>
  <c r="N29" i="5"/>
  <c r="N33" i="5"/>
  <c r="N37" i="5"/>
  <c r="N41" i="5"/>
  <c r="N45" i="5"/>
  <c r="N49" i="5"/>
  <c r="N53" i="5"/>
  <c r="N57" i="5"/>
  <c r="N61" i="5"/>
  <c r="N65" i="5"/>
  <c r="N69" i="5"/>
  <c r="N73" i="5"/>
  <c r="N77" i="5"/>
  <c r="N6" i="5"/>
  <c r="N10" i="5"/>
  <c r="N14" i="5"/>
  <c r="N18" i="5"/>
  <c r="N22" i="5"/>
  <c r="N26" i="5"/>
  <c r="N30" i="5"/>
  <c r="N34" i="5"/>
  <c r="N38" i="5"/>
  <c r="N42" i="5"/>
  <c r="N46" i="5"/>
  <c r="N19" i="5"/>
  <c r="N35" i="5"/>
  <c r="N50" i="5"/>
  <c r="N58" i="5"/>
  <c r="N66" i="5"/>
  <c r="N74" i="5"/>
  <c r="N7" i="5"/>
  <c r="N23" i="5"/>
  <c r="N39" i="5"/>
  <c r="N51" i="5"/>
  <c r="N59" i="5"/>
  <c r="N67" i="5"/>
  <c r="N75" i="5"/>
  <c r="N11" i="5"/>
  <c r="N27" i="5"/>
  <c r="N43" i="5"/>
  <c r="N54" i="5"/>
  <c r="N62" i="5"/>
  <c r="N70" i="5"/>
  <c r="N15" i="5"/>
  <c r="N31" i="5"/>
  <c r="N47" i="5"/>
  <c r="N55" i="5"/>
  <c r="N63" i="5"/>
  <c r="N71" i="5"/>
  <c r="M78" i="5"/>
  <c r="M80" i="5" s="1"/>
  <c r="N87" i="5"/>
  <c r="N88" i="5"/>
  <c r="N95" i="5"/>
  <c r="N96" i="5"/>
  <c r="N103" i="5"/>
  <c r="N104" i="5"/>
  <c r="N111" i="5"/>
  <c r="N112" i="5"/>
  <c r="N119" i="5"/>
  <c r="N120" i="5"/>
  <c r="N127" i="5"/>
  <c r="N92" i="5"/>
  <c r="N93" i="5"/>
  <c r="N98" i="5"/>
  <c r="N99" i="5"/>
  <c r="N105" i="5"/>
  <c r="N118" i="5"/>
  <c r="N124" i="5"/>
  <c r="N125" i="5"/>
  <c r="N131" i="5"/>
  <c r="N132" i="5"/>
  <c r="N139" i="5"/>
  <c r="N140" i="5"/>
  <c r="N147" i="5"/>
  <c r="N148" i="5"/>
  <c r="N155" i="5"/>
  <c r="N156" i="5"/>
  <c r="N163" i="5"/>
  <c r="N164" i="5"/>
  <c r="N171" i="5"/>
  <c r="N172" i="5"/>
  <c r="N179" i="5"/>
  <c r="N180" i="5"/>
  <c r="N90" i="5"/>
  <c r="N91" i="5"/>
  <c r="N97" i="5"/>
  <c r="N110" i="5"/>
  <c r="N116" i="5"/>
  <c r="N117" i="5"/>
  <c r="N122" i="5"/>
  <c r="N123" i="5"/>
  <c r="N133" i="5"/>
  <c r="N134" i="5"/>
  <c r="N141" i="5"/>
  <c r="N142" i="5"/>
  <c r="N102" i="5"/>
  <c r="N108" i="5"/>
  <c r="N109" i="5"/>
  <c r="N114" i="5"/>
  <c r="N115" i="5"/>
  <c r="N121" i="5"/>
  <c r="N128" i="5"/>
  <c r="N135" i="5"/>
  <c r="N136" i="5"/>
  <c r="N143" i="5"/>
  <c r="N144" i="5"/>
  <c r="N151" i="5"/>
  <c r="N152" i="5"/>
  <c r="N159" i="5"/>
  <c r="N160" i="5"/>
  <c r="N167" i="5"/>
  <c r="N168" i="5"/>
  <c r="N175" i="5"/>
  <c r="N176" i="5"/>
  <c r="N183" i="5"/>
  <c r="N184" i="5"/>
  <c r="N191" i="5"/>
  <c r="N192" i="5"/>
  <c r="N199" i="5"/>
  <c r="N200" i="5"/>
  <c r="N206" i="5"/>
  <c r="N208" i="5"/>
  <c r="N210" i="5"/>
  <c r="N212" i="5"/>
  <c r="N214" i="5"/>
  <c r="N216" i="5"/>
  <c r="N218" i="5"/>
  <c r="N220" i="5"/>
  <c r="N89" i="5"/>
  <c r="N94" i="5"/>
  <c r="N113" i="5"/>
  <c r="N138" i="5"/>
  <c r="N146" i="5"/>
  <c r="N153" i="5"/>
  <c r="N162" i="5"/>
  <c r="N169" i="5"/>
  <c r="N185" i="5"/>
  <c r="N190" i="5"/>
  <c r="N197" i="5"/>
  <c r="N203" i="5"/>
  <c r="N100" i="5"/>
  <c r="N150" i="5"/>
  <c r="N157" i="5"/>
  <c r="N166" i="5"/>
  <c r="N173" i="5"/>
  <c r="N182" i="5"/>
  <c r="N188" i="5"/>
  <c r="N189" i="5"/>
  <c r="N194" i="5"/>
  <c r="N195" i="5"/>
  <c r="N201" i="5"/>
  <c r="N101" i="5"/>
  <c r="N106" i="5"/>
  <c r="N129" i="5"/>
  <c r="N145" i="5"/>
  <c r="N154" i="5"/>
  <c r="N161" i="5"/>
  <c r="N170" i="5"/>
  <c r="N177" i="5"/>
  <c r="N186" i="5"/>
  <c r="N187" i="5"/>
  <c r="N193" i="5"/>
  <c r="N213" i="5"/>
  <c r="N107" i="5"/>
  <c r="N126" i="5"/>
  <c r="N130" i="5"/>
  <c r="N137" i="5"/>
  <c r="N149" i="5"/>
  <c r="N158" i="5"/>
  <c r="N165" i="5"/>
  <c r="N174" i="5"/>
  <c r="N181" i="5"/>
  <c r="N198" i="5"/>
  <c r="N204" i="5"/>
  <c r="N205" i="5"/>
  <c r="N207" i="5"/>
  <c r="N215" i="5"/>
  <c r="N178" i="5"/>
  <c r="N196" i="5"/>
  <c r="N202" i="5"/>
  <c r="N209" i="5"/>
  <c r="N217" i="5"/>
  <c r="N211" i="5"/>
  <c r="N219" i="5"/>
  <c r="O3" i="5"/>
  <c r="O6" i="5" l="1"/>
  <c r="O10" i="5"/>
  <c r="O14" i="5"/>
  <c r="O18" i="5"/>
  <c r="O22" i="5"/>
  <c r="O26" i="5"/>
  <c r="O30" i="5"/>
  <c r="O34" i="5"/>
  <c r="O38" i="5"/>
  <c r="O42" i="5"/>
  <c r="O46" i="5"/>
  <c r="O50" i="5"/>
  <c r="O54" i="5"/>
  <c r="O58" i="5"/>
  <c r="O62" i="5"/>
  <c r="O66" i="5"/>
  <c r="O70" i="5"/>
  <c r="O74" i="5"/>
  <c r="O7" i="5"/>
  <c r="O11" i="5"/>
  <c r="O15" i="5"/>
  <c r="O19" i="5"/>
  <c r="O23" i="5"/>
  <c r="O27" i="5"/>
  <c r="O31" i="5"/>
  <c r="O35" i="5"/>
  <c r="O39" i="5"/>
  <c r="O43" i="5"/>
  <c r="O47" i="5"/>
  <c r="O51" i="5"/>
  <c r="O55" i="5"/>
  <c r="O59" i="5"/>
  <c r="O63" i="5"/>
  <c r="O67" i="5"/>
  <c r="O71" i="5"/>
  <c r="O75" i="5"/>
  <c r="O4" i="5"/>
  <c r="O8" i="5"/>
  <c r="O12" i="5"/>
  <c r="O16" i="5"/>
  <c r="O20" i="5"/>
  <c r="O24" i="5"/>
  <c r="O28" i="5"/>
  <c r="O32" i="5"/>
  <c r="O36" i="5"/>
  <c r="O40" i="5"/>
  <c r="O48" i="5"/>
  <c r="O52" i="5"/>
  <c r="O56" i="5"/>
  <c r="O60" i="5"/>
  <c r="O64" i="5"/>
  <c r="O68" i="5"/>
  <c r="O72" i="5"/>
  <c r="O76" i="5"/>
  <c r="O17" i="5"/>
  <c r="O33" i="5"/>
  <c r="O45" i="5"/>
  <c r="O61" i="5"/>
  <c r="O77" i="5"/>
  <c r="O5" i="5"/>
  <c r="O21" i="5"/>
  <c r="O37" i="5"/>
  <c r="O49" i="5"/>
  <c r="O65" i="5"/>
  <c r="O9" i="5"/>
  <c r="O25" i="5"/>
  <c r="O41" i="5"/>
  <c r="O53" i="5"/>
  <c r="O69" i="5"/>
  <c r="O13" i="5"/>
  <c r="O29" i="5"/>
  <c r="O44" i="5"/>
  <c r="O57" i="5"/>
  <c r="O73" i="5"/>
  <c r="N78" i="5"/>
  <c r="N80" i="5" s="1"/>
  <c r="O87" i="5"/>
  <c r="O89" i="5"/>
  <c r="O91" i="5"/>
  <c r="O93" i="5"/>
  <c r="O95" i="5"/>
  <c r="O97" i="5"/>
  <c r="O99" i="5"/>
  <c r="O101" i="5"/>
  <c r="O103" i="5"/>
  <c r="O105" i="5"/>
  <c r="O107" i="5"/>
  <c r="O109" i="5"/>
  <c r="O111" i="5"/>
  <c r="O113" i="5"/>
  <c r="O115" i="5"/>
  <c r="O117" i="5"/>
  <c r="O119" i="5"/>
  <c r="O121" i="5"/>
  <c r="O123" i="5"/>
  <c r="O125" i="5"/>
  <c r="O127" i="5"/>
  <c r="O94" i="5"/>
  <c r="O102" i="5"/>
  <c r="O110" i="5"/>
  <c r="O118" i="5"/>
  <c r="O126" i="5"/>
  <c r="O129" i="5"/>
  <c r="O131" i="5"/>
  <c r="O133" i="5"/>
  <c r="O135" i="5"/>
  <c r="O137" i="5"/>
  <c r="O139" i="5"/>
  <c r="O141" i="5"/>
  <c r="O143" i="5"/>
  <c r="O145" i="5"/>
  <c r="O147" i="5"/>
  <c r="O149" i="5"/>
  <c r="O151" i="5"/>
  <c r="O153" i="5"/>
  <c r="O155" i="5"/>
  <c r="O157" i="5"/>
  <c r="O159" i="5"/>
  <c r="O161" i="5"/>
  <c r="O163" i="5"/>
  <c r="O165" i="5"/>
  <c r="O167" i="5"/>
  <c r="O169" i="5"/>
  <c r="O171" i="5"/>
  <c r="O173" i="5"/>
  <c r="O175" i="5"/>
  <c r="O177" i="5"/>
  <c r="O179" i="5"/>
  <c r="O181" i="5"/>
  <c r="O183" i="5"/>
  <c r="O185" i="5"/>
  <c r="O187" i="5"/>
  <c r="O189" i="5"/>
  <c r="O191" i="5"/>
  <c r="O193" i="5"/>
  <c r="O195" i="5"/>
  <c r="O197" i="5"/>
  <c r="O199" i="5"/>
  <c r="O201" i="5"/>
  <c r="O203" i="5"/>
  <c r="O205" i="5"/>
  <c r="O100" i="5"/>
  <c r="O106" i="5"/>
  <c r="O112" i="5"/>
  <c r="O130" i="5"/>
  <c r="O138" i="5"/>
  <c r="O146" i="5"/>
  <c r="O154" i="5"/>
  <c r="O162" i="5"/>
  <c r="O170" i="5"/>
  <c r="O178" i="5"/>
  <c r="O88" i="5"/>
  <c r="O92" i="5"/>
  <c r="O98" i="5"/>
  <c r="O104" i="5"/>
  <c r="O124" i="5"/>
  <c r="O132" i="5"/>
  <c r="O140" i="5"/>
  <c r="O90" i="5"/>
  <c r="O96" i="5"/>
  <c r="O116" i="5"/>
  <c r="O122" i="5"/>
  <c r="O134" i="5"/>
  <c r="O142" i="5"/>
  <c r="O150" i="5"/>
  <c r="O158" i="5"/>
  <c r="O166" i="5"/>
  <c r="O174" i="5"/>
  <c r="O182" i="5"/>
  <c r="O190" i="5"/>
  <c r="O198" i="5"/>
  <c r="O108" i="5"/>
  <c r="O144" i="5"/>
  <c r="O160" i="5"/>
  <c r="O176" i="5"/>
  <c r="O208" i="5"/>
  <c r="O216" i="5"/>
  <c r="O217" i="5"/>
  <c r="O218" i="5"/>
  <c r="O114" i="5"/>
  <c r="O128" i="5"/>
  <c r="O148" i="5"/>
  <c r="O164" i="5"/>
  <c r="O180" i="5"/>
  <c r="O196" i="5"/>
  <c r="O210" i="5"/>
  <c r="O120" i="5"/>
  <c r="O136" i="5"/>
  <c r="O152" i="5"/>
  <c r="O168" i="5"/>
  <c r="O184" i="5"/>
  <c r="O188" i="5"/>
  <c r="O194" i="5"/>
  <c r="O200" i="5"/>
  <c r="O211" i="5"/>
  <c r="O212" i="5"/>
  <c r="O219" i="5"/>
  <c r="O220" i="5"/>
  <c r="O156" i="5"/>
  <c r="O172" i="5"/>
  <c r="O186" i="5"/>
  <c r="O192" i="5"/>
  <c r="O206" i="5"/>
  <c r="O213" i="5"/>
  <c r="O214" i="5"/>
  <c r="O204" i="5"/>
  <c r="O207" i="5"/>
  <c r="O215" i="5"/>
  <c r="O202" i="5"/>
  <c r="O209" i="5"/>
  <c r="M1" i="5"/>
  <c r="P3" i="5"/>
  <c r="P4" i="5" l="1"/>
  <c r="P6" i="5"/>
  <c r="P5" i="5"/>
  <c r="P8" i="5"/>
  <c r="P7" i="5"/>
  <c r="P10" i="5"/>
  <c r="P9" i="5"/>
  <c r="P65" i="5"/>
  <c r="P33" i="5"/>
  <c r="P67" i="5"/>
  <c r="P66" i="5"/>
  <c r="P69" i="5"/>
  <c r="P68" i="5"/>
  <c r="P72" i="5"/>
  <c r="P70" i="5"/>
  <c r="O78" i="5"/>
  <c r="O80" i="5" s="1"/>
  <c r="P73" i="5"/>
  <c r="P88" i="5"/>
  <c r="P92" i="5"/>
  <c r="P96" i="5"/>
  <c r="P100" i="5"/>
  <c r="P104" i="5"/>
  <c r="P108" i="5"/>
  <c r="P112" i="5"/>
  <c r="P116" i="5"/>
  <c r="P120" i="5"/>
  <c r="P124" i="5"/>
  <c r="P128" i="5"/>
  <c r="P132" i="5"/>
  <c r="P136" i="5"/>
  <c r="P140" i="5"/>
  <c r="P144" i="5"/>
  <c r="P148" i="5"/>
  <c r="P152" i="5"/>
  <c r="P156" i="5"/>
  <c r="P160" i="5"/>
  <c r="P164" i="5"/>
  <c r="P168" i="5"/>
  <c r="P172" i="5"/>
  <c r="P176" i="5"/>
  <c r="P180" i="5"/>
  <c r="P184" i="5"/>
  <c r="P188" i="5"/>
  <c r="P192" i="5"/>
  <c r="P196" i="5"/>
  <c r="P200" i="5"/>
  <c r="P204" i="5"/>
  <c r="P208" i="5"/>
  <c r="P212" i="5"/>
  <c r="P216" i="5"/>
  <c r="P220" i="5"/>
  <c r="P171" i="5"/>
  <c r="P195" i="5"/>
  <c r="P207" i="5"/>
  <c r="P219" i="5"/>
  <c r="P74" i="5"/>
  <c r="P89" i="5"/>
  <c r="P93" i="5"/>
  <c r="P97" i="5"/>
  <c r="P101" i="5"/>
  <c r="P105" i="5"/>
  <c r="P109" i="5"/>
  <c r="P113" i="5"/>
  <c r="P117" i="5"/>
  <c r="P121" i="5"/>
  <c r="P125" i="5"/>
  <c r="P129" i="5"/>
  <c r="P133" i="5"/>
  <c r="P137" i="5"/>
  <c r="P141" i="5"/>
  <c r="P145" i="5"/>
  <c r="P149" i="5"/>
  <c r="P153" i="5"/>
  <c r="P157" i="5"/>
  <c r="P161" i="5"/>
  <c r="P165" i="5"/>
  <c r="P169" i="5"/>
  <c r="P173" i="5"/>
  <c r="P177" i="5"/>
  <c r="P181" i="5"/>
  <c r="P185" i="5"/>
  <c r="P189" i="5"/>
  <c r="P193" i="5"/>
  <c r="P197" i="5"/>
  <c r="P201" i="5"/>
  <c r="P205" i="5"/>
  <c r="P209" i="5"/>
  <c r="P213" i="5"/>
  <c r="P217" i="5"/>
  <c r="P87" i="5"/>
  <c r="P95" i="5"/>
  <c r="P103" i="5"/>
  <c r="P111" i="5"/>
  <c r="P119" i="5"/>
  <c r="P131" i="5"/>
  <c r="P139" i="5"/>
  <c r="P147" i="5"/>
  <c r="P155" i="5"/>
  <c r="P163" i="5"/>
  <c r="P175" i="5"/>
  <c r="P183" i="5"/>
  <c r="P191" i="5"/>
  <c r="P203" i="5"/>
  <c r="P215" i="5"/>
  <c r="P71" i="5"/>
  <c r="P77" i="5"/>
  <c r="P90" i="5"/>
  <c r="P94" i="5"/>
  <c r="P98" i="5"/>
  <c r="P102" i="5"/>
  <c r="P106" i="5"/>
  <c r="P110" i="5"/>
  <c r="P114" i="5"/>
  <c r="P118" i="5"/>
  <c r="P122" i="5"/>
  <c r="P126" i="5"/>
  <c r="P130" i="5"/>
  <c r="P134" i="5"/>
  <c r="P138" i="5"/>
  <c r="P142" i="5"/>
  <c r="P146" i="5"/>
  <c r="P150" i="5"/>
  <c r="P154" i="5"/>
  <c r="P158" i="5"/>
  <c r="P162" i="5"/>
  <c r="P166" i="5"/>
  <c r="P170" i="5"/>
  <c r="P174" i="5"/>
  <c r="P178" i="5"/>
  <c r="P182" i="5"/>
  <c r="P186" i="5"/>
  <c r="P190" i="5"/>
  <c r="P194" i="5"/>
  <c r="P198" i="5"/>
  <c r="P202" i="5"/>
  <c r="P206" i="5"/>
  <c r="P210" i="5"/>
  <c r="P214" i="5"/>
  <c r="P218" i="5"/>
  <c r="P91" i="5"/>
  <c r="P99" i="5"/>
  <c r="P107" i="5"/>
  <c r="P115" i="5"/>
  <c r="P123" i="5"/>
  <c r="P127" i="5"/>
  <c r="P135" i="5"/>
  <c r="P143" i="5"/>
  <c r="P151" i="5"/>
  <c r="P159" i="5"/>
  <c r="P167" i="5"/>
  <c r="P179" i="5"/>
  <c r="P187" i="5"/>
  <c r="P199" i="5"/>
  <c r="P211" i="5"/>
  <c r="N1" i="5"/>
  <c r="P78" i="5" l="1"/>
  <c r="P80" i="5" s="1"/>
  <c r="O1" i="5"/>
  <c r="P1" i="5" l="1"/>
  <c r="I21" i="10"/>
  <c r="L16" i="10" l="1"/>
  <c r="L25" i="10" s="1"/>
  <c r="I33" i="10" l="1"/>
  <c r="I3" i="10"/>
  <c r="G2" i="10" l="1"/>
  <c r="C10" i="10" l="1"/>
  <c r="D10" i="10" s="1"/>
  <c r="D9" i="10"/>
  <c r="C8" i="10"/>
  <c r="D8" i="10" s="1"/>
  <c r="C7" i="10"/>
  <c r="D7" i="10" l="1"/>
  <c r="C12" i="10"/>
  <c r="I12" i="10" s="1"/>
  <c r="D12" i="10" l="1"/>
  <c r="I13" i="10" s="1"/>
  <c r="I15" i="10" s="1"/>
  <c r="I16" i="10" s="1"/>
  <c r="J16" i="10" s="1"/>
  <c r="I24" i="10" l="1"/>
  <c r="I23" i="10"/>
  <c r="I25" i="10" s="1"/>
  <c r="J25" i="10" s="1"/>
</calcChain>
</file>

<file path=xl/sharedStrings.xml><?xml version="1.0" encoding="utf-8"?>
<sst xmlns="http://schemas.openxmlformats.org/spreadsheetml/2006/main" count="280" uniqueCount="195">
  <si>
    <t>Cambio € a $</t>
  </si>
  <si>
    <t>Concepto:</t>
  </si>
  <si>
    <t>EUROS</t>
  </si>
  <si>
    <t>NETO</t>
  </si>
  <si>
    <t>US$</t>
  </si>
  <si>
    <t>Total Habitaciones (con IVA)</t>
  </si>
  <si>
    <t>Total SALAS (con IVA)</t>
  </si>
  <si>
    <t>Total AV (con IVA)</t>
  </si>
  <si>
    <t>Total F&amp;B (con IVA)</t>
  </si>
  <si>
    <t>Total General</t>
  </si>
  <si>
    <t>ACTUALIZAR!!!!</t>
  </si>
  <si>
    <t>en:</t>
  </si>
  <si>
    <t>IVA Rooms=</t>
  </si>
  <si>
    <t>IVA SALAS=</t>
  </si>
  <si>
    <t>IVA AV=</t>
  </si>
  <si>
    <t>IVA F&amp;B=</t>
  </si>
  <si>
    <t>Grupo:</t>
  </si>
  <si>
    <t>Fecha:</t>
  </si>
  <si>
    <t>Hilton Honors Event Bonus Points</t>
  </si>
  <si>
    <t>Name of the Event</t>
  </si>
  <si>
    <t>Reference/SRP</t>
  </si>
  <si>
    <t>DELPHI Booking Number</t>
  </si>
  <si>
    <t>HHonors card holder</t>
  </si>
  <si>
    <t>HHonors card number</t>
  </si>
  <si>
    <t xml:space="preserve">Airline (only for option 2) </t>
  </si>
  <si>
    <t>Frequent flyer account # (only for option 2)</t>
  </si>
  <si>
    <r>
      <t>Option 1</t>
    </r>
    <r>
      <rPr>
        <sz val="11"/>
        <color theme="1"/>
        <rFont val="Arial"/>
        <family val="2"/>
      </rPr>
      <t xml:space="preserve"> - Only HHonors Points</t>
    </r>
  </si>
  <si>
    <t>Total Revenue (€)</t>
  </si>
  <si>
    <t>Total Revenue ($)*</t>
  </si>
  <si>
    <t>Total HHonors Points</t>
  </si>
  <si>
    <t>Total cost of points to hotel</t>
  </si>
  <si>
    <r>
      <t>Option 2</t>
    </r>
    <r>
      <rPr>
        <sz val="11"/>
        <color theme="1"/>
        <rFont val="Arial"/>
        <family val="2"/>
      </rPr>
      <t xml:space="preserve"> - Hhonors Points &amp; Air Miles</t>
    </r>
  </si>
  <si>
    <t>Total Air Miles</t>
  </si>
  <si>
    <t>Signature GM</t>
  </si>
  <si>
    <t>Date Prepared:</t>
  </si>
  <si>
    <t>Prepared By:</t>
  </si>
  <si>
    <t>AQUI</t>
  </si>
  <si>
    <t>Max 100000!!!</t>
  </si>
  <si>
    <t># Rooms</t>
  </si>
  <si>
    <t># Roomnights</t>
  </si>
  <si>
    <t># Meeting Rooms</t>
  </si>
  <si>
    <t>Park West Gallery/ Cruise Group/ ROYAL PRINCESS</t>
  </si>
  <si>
    <t>Amelia Scaglione</t>
  </si>
  <si>
    <t>Leyla Aliyeva obo Ophelie Marechal</t>
  </si>
  <si>
    <t>Other (21% IVA)</t>
  </si>
  <si>
    <t>TOTALES</t>
  </si>
  <si>
    <r>
      <t xml:space="preserve">PEGAR AQUÍ DEBAJO ROOMING LIST (OJO </t>
    </r>
    <r>
      <rPr>
        <b/>
        <sz val="11"/>
        <color rgb="FFFF0000"/>
        <rFont val="Calibri"/>
        <family val="2"/>
        <scheme val="minor"/>
      </rPr>
      <t>F</t>
    </r>
    <r>
      <rPr>
        <sz val="11"/>
        <color rgb="FFFF0000"/>
        <rFont val="Calibri"/>
        <family val="2"/>
        <scheme val="minor"/>
      </rPr>
      <t xml:space="preserve"> SIEMPRE CHECK IN DATE, </t>
    </r>
    <r>
      <rPr>
        <b/>
        <sz val="11"/>
        <color rgb="FFFF0000"/>
        <rFont val="Calibri"/>
        <family val="2"/>
        <scheme val="minor"/>
      </rPr>
      <t>G</t>
    </r>
    <r>
      <rPr>
        <sz val="11"/>
        <color rgb="FFFF0000"/>
        <rFont val="Calibri"/>
        <family val="2"/>
        <scheme val="minor"/>
      </rPr>
      <t xml:space="preserve"> SIEMPRE CHECK OUT DATE)</t>
    </r>
  </si>
  <si>
    <t>Check-In Date</t>
  </si>
  <si>
    <t>Check-Out Date</t>
  </si>
  <si>
    <t>Payment specification</t>
  </si>
  <si>
    <t>Dr. Rafael de la Plaza</t>
  </si>
  <si>
    <t>Dr. Caroline Glicksman</t>
  </si>
  <si>
    <t>Dr. Marcos Sforza</t>
  </si>
  <si>
    <t>NAME</t>
  </si>
  <si>
    <t>SURNAME</t>
  </si>
  <si>
    <t>COMMENTS</t>
  </si>
  <si>
    <t>Rooming total</t>
  </si>
  <si>
    <t>Contracted</t>
  </si>
  <si>
    <t>Difference</t>
  </si>
  <si>
    <t>Ayesh</t>
  </si>
  <si>
    <t>Barkaat</t>
  </si>
  <si>
    <t>Marianna</t>
  </si>
  <si>
    <t>Bitiņa</t>
  </si>
  <si>
    <t>Rita</t>
  </si>
  <si>
    <t>Bizarro</t>
  </si>
  <si>
    <t>Panagiotis</t>
  </si>
  <si>
    <t>Bouris</t>
  </si>
  <si>
    <t>Benedetto</t>
  </si>
  <si>
    <t>Bruno</t>
  </si>
  <si>
    <t>Ana</t>
  </si>
  <si>
    <t>Sabrina</t>
  </si>
  <si>
    <t>Cecere</t>
  </si>
  <si>
    <t>Joana</t>
  </si>
  <si>
    <t>Cunha</t>
  </si>
  <si>
    <t>Ewa</t>
  </si>
  <si>
    <t>Dabrowska-Gorniak</t>
  </si>
  <si>
    <t>Mirela</t>
  </si>
  <si>
    <t>Dacheva</t>
  </si>
  <si>
    <t>Rebecca</t>
  </si>
  <si>
    <t>Davies</t>
  </si>
  <si>
    <t>Stella</t>
  </si>
  <si>
    <t>D'Oronzo</t>
  </si>
  <si>
    <t>Cathrine</t>
  </si>
  <si>
    <t>Drobesch</t>
  </si>
  <si>
    <t>Julia</t>
  </si>
  <si>
    <t>Engstrom-Melnyk</t>
  </si>
  <si>
    <t>Alberto</t>
  </si>
  <si>
    <t>Farolfi</t>
  </si>
  <si>
    <t>Sophie</t>
  </si>
  <si>
    <t>Fohleitner</t>
  </si>
  <si>
    <t>Angelika</t>
  </si>
  <si>
    <t>Gawlik-Urban</t>
  </si>
  <si>
    <t>Catherine</t>
  </si>
  <si>
    <t>Germanier</t>
  </si>
  <si>
    <t>Ines</t>
  </si>
  <si>
    <t>Gomes</t>
  </si>
  <si>
    <t>Sieglinde</t>
  </si>
  <si>
    <t>Hanauer</t>
  </si>
  <si>
    <t>zohar</t>
  </si>
  <si>
    <t>honig</t>
  </si>
  <si>
    <t>Rosemary</t>
  </si>
  <si>
    <t>Jourdan</t>
  </si>
  <si>
    <t>Dominik</t>
  </si>
  <si>
    <t>Karásek</t>
  </si>
  <si>
    <t>Vassiliki</t>
  </si>
  <si>
    <t>Kolovetsiou-Kreiner</t>
  </si>
  <si>
    <t>Malgorzata</t>
  </si>
  <si>
    <t>Kuc-Rajca</t>
  </si>
  <si>
    <t>Aleksandra</t>
  </si>
  <si>
    <t>Kukla-Jakubowska</t>
  </si>
  <si>
    <t>Letizia</t>
  </si>
  <si>
    <t>Laera</t>
  </si>
  <si>
    <t>Michaela</t>
  </si>
  <si>
    <t>Lejnarova</t>
  </si>
  <si>
    <t>Meital</t>
  </si>
  <si>
    <t>Levartovsky</t>
  </si>
  <si>
    <t>Domenica</t>
  </si>
  <si>
    <t>Lorusso</t>
  </si>
  <si>
    <t>Inmaculada</t>
  </si>
  <si>
    <t>Lozano Cubo</t>
  </si>
  <si>
    <t>MIGKOU</t>
  </si>
  <si>
    <t>MAGDALINI</t>
  </si>
  <si>
    <t>Eszter</t>
  </si>
  <si>
    <t>Maka</t>
  </si>
  <si>
    <t>CHRISTOS</t>
  </si>
  <si>
    <t>MARKELLOS</t>
  </si>
  <si>
    <t>Constanza</t>
  </si>
  <si>
    <t>Maximiano Alonso</t>
  </si>
  <si>
    <t>JASMINA</t>
  </si>
  <si>
    <t>MIS NISSIM</t>
  </si>
  <si>
    <t>Eleonora</t>
  </si>
  <si>
    <t>Mozzillo</t>
  </si>
  <si>
    <t>Gerardo</t>
  </si>
  <si>
    <t>Musuraca</t>
  </si>
  <si>
    <t>Antonella</t>
  </si>
  <si>
    <t>Pietragalla</t>
  </si>
  <si>
    <t>AVINASH</t>
  </si>
  <si>
    <t>RAMCHANDANI VASWANI</t>
  </si>
  <si>
    <t>Ruchira</t>
  </si>
  <si>
    <t>Ranaweera</t>
  </si>
  <si>
    <t>Maja</t>
  </si>
  <si>
    <t>Ravnik</t>
  </si>
  <si>
    <t>Isabelle</t>
  </si>
  <si>
    <t>Ray Coquard</t>
  </si>
  <si>
    <t>Rodrigues</t>
  </si>
  <si>
    <t>Almudena</t>
  </si>
  <si>
    <t>Sanchez</t>
  </si>
  <si>
    <t>Roberta</t>
  </si>
  <si>
    <t>Sergi</t>
  </si>
  <si>
    <t>Tirzah</t>
  </si>
  <si>
    <t>Shwartz</t>
  </si>
  <si>
    <t>Vendula</t>
  </si>
  <si>
    <t>Smoligova</t>
  </si>
  <si>
    <t>Isabel</t>
  </si>
  <si>
    <t>Sousa</t>
  </si>
  <si>
    <t>Anna</t>
  </si>
  <si>
    <t>Sroka</t>
  </si>
  <si>
    <t>CHRYSOULA</t>
  </si>
  <si>
    <t>STIVANAKI</t>
  </si>
  <si>
    <t>Greta</t>
  </si>
  <si>
    <t>Tarlos</t>
  </si>
  <si>
    <t>TBC</t>
  </si>
  <si>
    <t>Federica</t>
  </si>
  <si>
    <t>Tomao</t>
  </si>
  <si>
    <t>Joanna</t>
  </si>
  <si>
    <t>Tomiczek-Szwiec</t>
  </si>
  <si>
    <t>Richard</t>
  </si>
  <si>
    <t>Tóth</t>
  </si>
  <si>
    <t>SKAISTE</t>
  </si>
  <si>
    <t>TULYTE-KIRZOVA</t>
  </si>
  <si>
    <t>Laura</t>
  </si>
  <si>
    <t>Valle</t>
  </si>
  <si>
    <t>Koen</t>
  </si>
  <si>
    <t>Van de Vijver</t>
  </si>
  <si>
    <t>Njal</t>
  </si>
  <si>
    <t>Winther Jensen</t>
  </si>
  <si>
    <t xml:space="preserve">Louisa </t>
  </si>
  <si>
    <t>Worsfold</t>
  </si>
  <si>
    <t>Ralitsa</t>
  </si>
  <si>
    <t>Yonkova</t>
  </si>
  <si>
    <t>Tsvetan</t>
  </si>
  <si>
    <t>Yordanov</t>
  </si>
  <si>
    <t>Jolanta</t>
  </si>
  <si>
    <t>Zaikauskiene</t>
  </si>
  <si>
    <t>Darin</t>
  </si>
  <si>
    <t>Zhelyazkov</t>
  </si>
  <si>
    <t>Room, breakfast &amp; taxes to be charged to master account. All incidentals to be charged to guest on check out</t>
  </si>
  <si>
    <t>Portugal Attendee: Room, breakfast &amp; taxes to be charged prior to arrival via link. All incidentals to be charged to guest on check out</t>
  </si>
  <si>
    <t>All charges to guest on check out</t>
  </si>
  <si>
    <r>
      <rPr>
        <b/>
        <i/>
        <sz val="11"/>
        <color rgb="FF000000"/>
        <rFont val="Calibri"/>
      </rPr>
      <t xml:space="preserve">Polish Attendee: </t>
    </r>
    <r>
      <rPr>
        <i/>
        <sz val="11"/>
        <color rgb="FF000000"/>
        <rFont val="Calibri"/>
      </rPr>
      <t>Night of 3rd July to be invoiced prior to stay, night of the 4th to be charged to master account. All incidentals to be charged to guest on check out</t>
    </r>
  </si>
  <si>
    <t>Night of 3rd July to be charged to guest on check out, night of the 4th to be charged to master account. All incidentals to be charged to guest on check out</t>
  </si>
  <si>
    <t>Polish Attendee: All room nights are to be invoiced prior to stay. All incidentals to be charged to guest on check out</t>
  </si>
  <si>
    <t>TBC if need a hotel room as stated no on registration - awaiting confirmation</t>
  </si>
  <si>
    <t>TBC - LW to confirm</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</si>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</sst>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164" formatCode="#,##0.00\ [$€-403]"/>
    <numFmt numFmtId="165" formatCode="&quot;€&quot;#,##0.00"/>
    <numFmt numFmtId="166" formatCode="[$$-409]#,##0.00"/>
    <numFmt numFmtId="167" formatCode="_-[$$-409]* #,##0.00_ ;_-[$$-409]* \-#,##0.00\ ;_-[$$-409]* &quot;-&quot;??_ ;_-@_ "/>
    <numFmt numFmtId="168" formatCode="_-[$€-2]\ * #,##0.00_-;\-[$€-2]\ * #,##0.00_-;_-[$€-2]\ * &quot;-&quot;??_-;_-@_-"/>
    <numFmt numFmtId="170" formatCode="dd\-mm\-yy;@"/>
  </numFmts>
  <fonts count="28">
    <font>
      <sz val="11"/>
      <color theme="1"/>
      <name val="Arial"/>
      <family val="2"/>
    </font>
    <font>
      <sz val="11"/>
      <color theme="1"/>
      <name val="Calibri"/>
      <family val="2"/>
      <scheme val="minor"/>
    </font>
    <font>
      <sz val="11"/>
      <color theme="1"/>
      <name val="Calibri"/>
      <family val="2"/>
      <scheme val="minor"/>
    </font>
    <font>
      <sz val="11"/>
      <color theme="1"/>
      <name val="Arial"/>
      <family val="2"/>
    </font>
    <font>
      <b/>
      <sz val="11"/>
      <color theme="1"/>
      <name val="Arial"/>
      <family val="2"/>
    </font>
    <font>
      <b/>
      <sz val="10"/>
      <name val="Arial"/>
      <family val="2"/>
    </font>
    <font>
      <sz val="11"/>
      <name val="Arial"/>
      <family val="2"/>
    </font>
    <font>
      <sz val="10"/>
      <name val="Arial"/>
      <family val="2"/>
    </font>
    <font>
      <u/>
      <sz val="11"/>
      <color theme="10"/>
      <name val="Arial"/>
      <family val="2"/>
    </font>
    <font>
      <sz val="20"/>
      <name val="Arial"/>
      <family val="2"/>
    </font>
    <font>
      <b/>
      <u/>
      <sz val="10"/>
      <name val="Arial"/>
      <family val="2"/>
    </font>
    <font>
      <sz val="11"/>
      <color rgb="FF0070C0"/>
      <name val="Arial"/>
      <family val="2"/>
    </font>
    <font>
      <sz val="10"/>
      <name val="Arial"/>
      <family val="2"/>
    </font>
    <font>
      <b/>
      <sz val="12"/>
      <name val="Calibri"/>
      <family val="2"/>
      <scheme val="minor"/>
    </font>
    <font>
      <sz val="11"/>
      <color rgb="FFFF0000"/>
      <name val="Calibri"/>
      <family val="2"/>
      <scheme val="minor"/>
    </font>
    <font>
      <b/>
      <sz val="11"/>
      <name val="Calibri"/>
      <family val="2"/>
      <scheme val="minor"/>
    </font>
    <font>
      <b/>
      <sz val="12"/>
      <color theme="0"/>
      <name val="Arial"/>
      <family val="2"/>
    </font>
    <font>
      <b/>
      <sz val="11"/>
      <color rgb="FFFF0000"/>
      <name val="Calibri"/>
      <family val="2"/>
      <scheme val="minor"/>
    </font>
    <font>
      <b/>
      <sz val="10"/>
      <color indexed="8"/>
      <name val="Arial"/>
      <family val="2"/>
    </font>
    <font>
      <sz val="11"/>
      <color rgb="FFFF0000"/>
      <name val="Arial"/>
      <family val="2"/>
    </font>
    <font>
      <sz val="11"/>
      <color theme="1"/>
      <name val="Inter"/>
    </font>
    <font>
      <sz val="10"/>
      <color theme="1"/>
      <name val="Arial"/>
      <family val="2"/>
    </font>
    <font>
      <b/>
      <sz val="10"/>
      <color theme="0"/>
      <name val="Arial"/>
      <family val="2"/>
    </font>
    <font>
      <i/>
      <sz val="12"/>
      <color theme="1"/>
      <name val="Calibri"/>
      <family val="2"/>
      <scheme val="minor"/>
    </font>
    <font>
      <i/>
      <sz val="11"/>
      <color rgb="FF000000"/>
      <name val="Calibri"/>
    </font>
    <font>
      <b/>
      <i/>
      <sz val="11"/>
      <color rgb="FF000000"/>
      <name val="Calibri"/>
    </font>
    <font>
      <i/>
      <sz val="11"/>
      <name val="Calibri"/>
      <family val="2"/>
      <charset val="1"/>
    </font>
    <font>
      <i/>
      <sz val="12"/>
      <color rgb="FFFF0000"/>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indexed="22"/>
        <bgColor indexed="64"/>
      </patternFill>
    </fill>
    <fill>
      <patternFill patternType="solid">
        <fgColor rgb="FFFF0000"/>
        <bgColor indexed="64"/>
      </patternFill>
    </fill>
    <fill>
      <patternFill patternType="solid">
        <fgColor indexed="44"/>
        <bgColor indexed="64"/>
      </patternFill>
    </fill>
    <fill>
      <patternFill patternType="solid">
        <fgColor indexed="43"/>
        <bgColor indexed="64"/>
      </patternFill>
    </fill>
    <fill>
      <patternFill patternType="solid">
        <fgColor indexed="51"/>
        <bgColor indexed="64"/>
      </patternFill>
    </fill>
    <fill>
      <patternFill patternType="solid">
        <fgColor rgb="FFFFFFFF"/>
        <bgColor indexed="64"/>
      </patternFill>
    </fill>
    <fill>
      <patternFill patternType="solid">
        <fgColor theme="4"/>
        <bgColor indexed="64"/>
      </patternFill>
    </fill>
    <fill>
      <patternFill patternType="solid">
        <fgColor theme="0"/>
        <bgColor indexed="64"/>
      </patternFill>
    </fill>
    <fill>
      <patternFill patternType="solid">
        <fgColor theme="6"/>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2" tint="-0.249977111117893"/>
        <bgColor indexed="64"/>
      </patternFill>
    </fill>
    <fill>
      <patternFill patternType="solid">
        <fgColor theme="6" tint="-0.249977111117893"/>
        <bgColor indexed="64"/>
      </patternFill>
    </fill>
  </fills>
  <borders count="30">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44" fontId="3" fillId="0" borderId="0" applyFont="0" applyFill="0" applyBorder="0" applyAlignment="0" applyProtection="0"/>
    <xf numFmtId="0" fontId="3" fillId="0" borderId="0"/>
    <xf numFmtId="0" fontId="7" fillId="0" borderId="0"/>
    <xf numFmtId="0" fontId="8" fillId="0" borderId="0" applyNumberFormat="0" applyFill="0" applyBorder="0" applyAlignment="0" applyProtection="0"/>
    <xf numFmtId="0" fontId="12" fillId="0" borderId="0"/>
    <xf numFmtId="0" fontId="2" fillId="0" borderId="0"/>
    <xf numFmtId="0" fontId="1" fillId="0" borderId="0"/>
  </cellStyleXfs>
  <cellXfs count="128">
    <xf numFmtId="0" fontId="0" fillId="0" borderId="0" xfId="0"/>
    <xf numFmtId="0" fontId="0" fillId="0" borderId="0" xfId="0" applyAlignment="1">
      <alignment horizontal="center"/>
    </xf>
    <xf numFmtId="0" fontId="0" fillId="0" borderId="3" xfId="0" applyBorder="1"/>
    <xf numFmtId="0" fontId="0" fillId="0" borderId="4" xfId="0" applyBorder="1"/>
    <xf numFmtId="0" fontId="0" fillId="0" borderId="0" xfId="0" applyAlignment="1">
      <alignment horizontal="right"/>
    </xf>
    <xf numFmtId="0" fontId="0" fillId="2" borderId="0" xfId="0" applyFill="1" applyAlignment="1" applyProtection="1">
      <alignment horizontal="center"/>
      <protection locked="0"/>
    </xf>
    <xf numFmtId="164" fontId="0" fillId="0" borderId="0" xfId="0" applyNumberFormat="1" applyAlignment="1">
      <alignment horizontal="center"/>
    </xf>
    <xf numFmtId="166" fontId="0" fillId="0" borderId="0" xfId="0" applyNumberFormat="1"/>
    <xf numFmtId="10" fontId="0" fillId="2" borderId="0" xfId="0" applyNumberFormat="1" applyFill="1" applyAlignment="1" applyProtection="1">
      <alignment horizontal="center"/>
      <protection locked="0"/>
    </xf>
    <xf numFmtId="0" fontId="0" fillId="5" borderId="0" xfId="0" applyFill="1"/>
    <xf numFmtId="0" fontId="0" fillId="5" borderId="0" xfId="0" applyFill="1" applyAlignment="1">
      <alignment horizontal="left"/>
    </xf>
    <xf numFmtId="0" fontId="9" fillId="6" borderId="10" xfId="0" applyFont="1" applyFill="1" applyBorder="1"/>
    <xf numFmtId="0" fontId="0" fillId="6" borderId="12" xfId="0" applyFill="1" applyBorder="1"/>
    <xf numFmtId="0" fontId="0" fillId="4" borderId="13" xfId="0" applyFill="1" applyBorder="1"/>
    <xf numFmtId="0" fontId="0" fillId="4" borderId="15" xfId="0" applyFill="1" applyBorder="1"/>
    <xf numFmtId="0" fontId="0" fillId="4" borderId="17" xfId="0" applyFill="1" applyBorder="1"/>
    <xf numFmtId="0" fontId="0" fillId="4" borderId="8" xfId="0" applyFill="1" applyBorder="1"/>
    <xf numFmtId="0" fontId="10" fillId="7" borderId="9" xfId="0" applyFont="1" applyFill="1" applyBorder="1"/>
    <xf numFmtId="0" fontId="0" fillId="7" borderId="13" xfId="0" applyFill="1" applyBorder="1"/>
    <xf numFmtId="165" fontId="0" fillId="0" borderId="14" xfId="0" applyNumberFormat="1" applyBorder="1" applyProtection="1">
      <protection locked="0"/>
    </xf>
    <xf numFmtId="0" fontId="0" fillId="7" borderId="15" xfId="0" applyFill="1" applyBorder="1"/>
    <xf numFmtId="166" fontId="0" fillId="0" borderId="16" xfId="0" applyNumberFormat="1" applyBorder="1"/>
    <xf numFmtId="0" fontId="0" fillId="0" borderId="15" xfId="0" applyBorder="1"/>
    <xf numFmtId="0" fontId="0" fillId="0" borderId="16" xfId="0" applyBorder="1"/>
    <xf numFmtId="0" fontId="5" fillId="7" borderId="15" xfId="0" applyFont="1" applyFill="1" applyBorder="1"/>
    <xf numFmtId="1" fontId="5" fillId="0" borderId="16" xfId="0" applyNumberFormat="1" applyFont="1" applyBorder="1"/>
    <xf numFmtId="0" fontId="5" fillId="7" borderId="8" xfId="0" applyFont="1" applyFill="1" applyBorder="1"/>
    <xf numFmtId="166" fontId="5" fillId="0" borderId="20" xfId="0" applyNumberFormat="1" applyFont="1" applyBorder="1"/>
    <xf numFmtId="165" fontId="0" fillId="0" borderId="7" xfId="0" applyNumberFormat="1" applyBorder="1"/>
    <xf numFmtId="0" fontId="10" fillId="8" borderId="7" xfId="0" applyFont="1" applyFill="1" applyBorder="1"/>
    <xf numFmtId="0" fontId="0" fillId="8" borderId="13" xfId="0" applyFill="1" applyBorder="1"/>
    <xf numFmtId="0" fontId="0" fillId="8" borderId="15" xfId="0" applyFill="1" applyBorder="1"/>
    <xf numFmtId="0" fontId="5" fillId="8" borderId="15" xfId="0" applyFont="1" applyFill="1" applyBorder="1"/>
    <xf numFmtId="0" fontId="5" fillId="8" borderId="17" xfId="0" applyFont="1" applyFill="1" applyBorder="1"/>
    <xf numFmtId="0" fontId="5" fillId="8" borderId="8" xfId="0" applyFont="1" applyFill="1" applyBorder="1"/>
    <xf numFmtId="0" fontId="5" fillId="0" borderId="0" xfId="0" applyFont="1"/>
    <xf numFmtId="0" fontId="0" fillId="0" borderId="0" xfId="0" applyAlignment="1" applyProtection="1">
      <alignment horizontal="left"/>
      <protection locked="0"/>
    </xf>
    <xf numFmtId="0" fontId="0" fillId="0" borderId="10" xfId="0" applyBorder="1" applyAlignment="1">
      <alignment horizontal="left" vertical="center"/>
    </xf>
    <xf numFmtId="0" fontId="0" fillId="0" borderId="14" xfId="0" applyBorder="1"/>
    <xf numFmtId="0" fontId="0" fillId="2" borderId="16" xfId="0" applyFill="1" applyBorder="1" applyProtection="1">
      <protection locked="0"/>
    </xf>
    <xf numFmtId="0" fontId="0" fillId="2" borderId="18" xfId="0" applyFill="1" applyBorder="1" applyProtection="1">
      <protection locked="0"/>
    </xf>
    <xf numFmtId="0" fontId="0" fillId="2" borderId="19" xfId="0" applyFill="1" applyBorder="1" applyProtection="1">
      <protection locked="0"/>
    </xf>
    <xf numFmtId="165" fontId="0" fillId="0" borderId="14" xfId="0" applyNumberFormat="1" applyBorder="1"/>
    <xf numFmtId="1" fontId="5" fillId="0" borderId="21" xfId="0" applyNumberFormat="1" applyFont="1" applyBorder="1"/>
    <xf numFmtId="1" fontId="5" fillId="0" borderId="18" xfId="0" applyNumberFormat="1" applyFont="1" applyBorder="1"/>
    <xf numFmtId="166" fontId="5" fillId="0" borderId="19" xfId="0" applyNumberFormat="1" applyFont="1" applyBorder="1"/>
    <xf numFmtId="22" fontId="4" fillId="0" borderId="0" xfId="0" applyNumberFormat="1" applyFont="1" applyAlignment="1">
      <alignment horizontal="center" vertical="center"/>
    </xf>
    <xf numFmtId="0" fontId="11" fillId="0" borderId="0" xfId="4" applyFont="1" applyAlignment="1">
      <alignment horizontal="center" wrapText="1"/>
    </xf>
    <xf numFmtId="0" fontId="0" fillId="0" borderId="0" xfId="0" applyAlignment="1">
      <alignment horizontal="left" vertical="center"/>
    </xf>
    <xf numFmtId="0" fontId="0" fillId="2" borderId="7" xfId="0" applyFill="1" applyBorder="1" applyAlignment="1" applyProtection="1">
      <alignment horizontal="center"/>
      <protection locked="0"/>
    </xf>
    <xf numFmtId="164" fontId="0" fillId="2" borderId="7" xfId="0" applyNumberFormat="1" applyFill="1" applyBorder="1" applyAlignment="1" applyProtection="1">
      <alignment horizontal="center"/>
      <protection locked="0"/>
    </xf>
    <xf numFmtId="0" fontId="0" fillId="2" borderId="0" xfId="0" applyFill="1" applyProtection="1">
      <protection locked="0"/>
    </xf>
    <xf numFmtId="167" fontId="0" fillId="0" borderId="7" xfId="0" applyNumberFormat="1" applyBorder="1"/>
    <xf numFmtId="168" fontId="4" fillId="0" borderId="7" xfId="1" applyNumberFormat="1" applyFont="1" applyBorder="1"/>
    <xf numFmtId="0" fontId="6" fillId="2" borderId="0" xfId="0" applyFont="1" applyFill="1" applyAlignment="1">
      <alignment horizontal="center"/>
    </xf>
    <xf numFmtId="0" fontId="15" fillId="0" borderId="0" xfId="0" applyFont="1" applyAlignment="1">
      <alignment horizontal="center"/>
    </xf>
    <xf numFmtId="0" fontId="16" fillId="10" borderId="22" xfId="0" applyFont="1" applyFill="1" applyBorder="1" applyAlignment="1">
      <alignment horizontal="center" vertical="center"/>
    </xf>
    <xf numFmtId="14" fontId="18" fillId="0" borderId="24" xfId="0" applyNumberFormat="1" applyFont="1" applyBorder="1" applyAlignment="1" applyProtection="1">
      <alignment vertical="center" readingOrder="1"/>
      <protection locked="0"/>
    </xf>
    <xf numFmtId="0" fontId="18" fillId="0" borderId="23" xfId="0" applyFont="1" applyBorder="1" applyAlignment="1" applyProtection="1">
      <alignment horizontal="center" vertical="center" readingOrder="1"/>
      <protection locked="0"/>
    </xf>
    <xf numFmtId="14" fontId="18" fillId="3" borderId="22" xfId="0" applyNumberFormat="1" applyFont="1" applyFill="1" applyBorder="1" applyAlignment="1" applyProtection="1">
      <alignment vertical="center" readingOrder="1"/>
      <protection locked="0"/>
    </xf>
    <xf numFmtId="0" fontId="0" fillId="0" borderId="22" xfId="0" applyBorder="1" applyAlignment="1">
      <alignment horizontal="center" vertical="center"/>
    </xf>
    <xf numFmtId="0" fontId="0" fillId="0" borderId="22" xfId="0" applyBorder="1"/>
    <xf numFmtId="0" fontId="1" fillId="9" borderId="0" xfId="7" applyFill="1"/>
    <xf numFmtId="0" fontId="0" fillId="0" borderId="0" xfId="0" applyAlignment="1">
      <alignment vertical="top" wrapText="1"/>
    </xf>
    <xf numFmtId="0" fontId="0" fillId="11" borderId="0" xfId="0" applyFill="1"/>
    <xf numFmtId="0" fontId="20" fillId="0" borderId="22" xfId="0" applyFont="1" applyBorder="1"/>
    <xf numFmtId="14" fontId="20" fillId="0" borderId="22" xfId="0" applyNumberFormat="1" applyFont="1" applyBorder="1" applyAlignment="1">
      <alignment horizontal="right"/>
    </xf>
    <xf numFmtId="0" fontId="13" fillId="0" borderId="25" xfId="0" applyFont="1" applyBorder="1"/>
    <xf numFmtId="0" fontId="13" fillId="0" borderId="25" xfId="0" applyFont="1" applyBorder="1" applyAlignment="1">
      <alignment vertical="center"/>
    </xf>
    <xf numFmtId="0" fontId="5" fillId="0" borderId="26" xfId="0" applyFont="1" applyBorder="1" applyAlignment="1">
      <alignment horizontal="center" vertical="center"/>
    </xf>
    <xf numFmtId="0" fontId="21" fillId="0" borderId="22" xfId="0" applyFont="1" applyBorder="1"/>
    <xf numFmtId="0" fontId="0" fillId="11" borderId="0" xfId="0" applyFill="1" applyAlignment="1">
      <alignment vertical="center"/>
    </xf>
    <xf numFmtId="14" fontId="18" fillId="11" borderId="23" xfId="0" applyNumberFormat="1" applyFont="1" applyFill="1" applyBorder="1" applyAlignment="1" applyProtection="1">
      <alignment vertical="center" readingOrder="1"/>
      <protection locked="0"/>
    </xf>
    <xf numFmtId="14" fontId="22" fillId="11" borderId="24" xfId="0" applyNumberFormat="1" applyFont="1" applyFill="1" applyBorder="1" applyAlignment="1" applyProtection="1">
      <alignment vertical="center" readingOrder="1"/>
      <protection locked="0"/>
    </xf>
    <xf numFmtId="0" fontId="4" fillId="0" borderId="13" xfId="0" applyFont="1" applyBorder="1"/>
    <xf numFmtId="0" fontId="0" fillId="0" borderId="27" xfId="0" applyBorder="1" applyAlignment="1">
      <alignment horizontal="center" vertical="center"/>
    </xf>
    <xf numFmtId="0" fontId="0" fillId="0" borderId="14" xfId="0" applyBorder="1" applyAlignment="1">
      <alignment horizontal="left"/>
    </xf>
    <xf numFmtId="0" fontId="4" fillId="0" borderId="15" xfId="0" applyFont="1" applyBorder="1"/>
    <xf numFmtId="0" fontId="0" fillId="0" borderId="16" xfId="0" applyBorder="1" applyAlignment="1">
      <alignment horizontal="left"/>
    </xf>
    <xf numFmtId="0" fontId="19" fillId="0" borderId="22" xfId="0" applyFont="1" applyBorder="1" applyAlignment="1">
      <alignment horizontal="center" vertical="center"/>
    </xf>
    <xf numFmtId="0" fontId="19" fillId="0" borderId="16" xfId="0" applyFont="1" applyBorder="1" applyAlignment="1">
      <alignment horizontal="left"/>
    </xf>
    <xf numFmtId="0" fontId="0" fillId="0" borderId="5" xfId="0" applyBorder="1"/>
    <xf numFmtId="14" fontId="4" fillId="0" borderId="28" xfId="0" applyNumberFormat="1" applyFont="1" applyBorder="1" applyAlignment="1">
      <alignment horizontal="center" vertical="center"/>
    </xf>
    <xf numFmtId="0" fontId="0" fillId="0" borderId="19" xfId="0" applyBorder="1" applyAlignment="1">
      <alignment horizontal="left"/>
    </xf>
    <xf numFmtId="0" fontId="0" fillId="0" borderId="23" xfId="0" applyBorder="1" applyAlignment="1">
      <alignment horizontal="center" vertical="center"/>
    </xf>
    <xf numFmtId="0" fontId="0" fillId="0" borderId="0" xfId="0" applyAlignment="1">
      <alignment horizontal="left" vertical="top"/>
    </xf>
    <xf numFmtId="14" fontId="0" fillId="0" borderId="0" xfId="0" applyNumberFormat="1" applyAlignment="1">
      <alignment horizontal="left" vertical="top"/>
    </xf>
    <xf numFmtId="0" fontId="13" fillId="0" borderId="0" xfId="0" applyFont="1" applyAlignment="1">
      <alignment vertical="center"/>
    </xf>
    <xf numFmtId="0" fontId="0" fillId="2" borderId="10" xfId="0" applyFill="1" applyBorder="1" applyAlignment="1" applyProtection="1">
      <alignment horizontal="center"/>
      <protection locked="0"/>
    </xf>
    <xf numFmtId="0" fontId="0" fillId="2" borderId="11" xfId="0" applyFill="1" applyBorder="1" applyAlignment="1" applyProtection="1">
      <alignment horizontal="center"/>
      <protection locked="0"/>
    </xf>
    <xf numFmtId="0" fontId="0" fillId="2" borderId="12" xfId="0" applyFill="1" applyBorder="1" applyAlignment="1" applyProtection="1">
      <alignment horizontal="center"/>
      <protection locked="0"/>
    </xf>
    <xf numFmtId="0" fontId="0" fillId="0" borderId="1" xfId="0" applyBorder="1" applyAlignment="1" applyProtection="1">
      <alignment horizontal="center"/>
      <protection locked="0"/>
    </xf>
    <xf numFmtId="0" fontId="0" fillId="0" borderId="2" xfId="0" applyBorder="1" applyAlignment="1" applyProtection="1">
      <alignment horizontal="center"/>
      <protection locked="0"/>
    </xf>
    <xf numFmtId="0" fontId="0" fillId="0" borderId="5" xfId="0" applyBorder="1" applyAlignment="1" applyProtection="1">
      <alignment horizontal="center"/>
      <protection locked="0"/>
    </xf>
    <xf numFmtId="0" fontId="0" fillId="0" borderId="6" xfId="0" applyBorder="1" applyAlignment="1" applyProtection="1">
      <alignment horizontal="center"/>
      <protection locked="0"/>
    </xf>
    <xf numFmtId="0" fontId="0" fillId="0" borderId="1" xfId="0" applyBorder="1" applyAlignment="1">
      <alignment horizontal="center"/>
    </xf>
    <xf numFmtId="0" fontId="0" fillId="0" borderId="2"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14" fillId="0" borderId="0" xfId="0" applyFont="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14" fillId="0" borderId="12" xfId="0" applyFont="1" applyBorder="1" applyAlignment="1">
      <alignment horizontal="center"/>
    </xf>
    <xf numFmtId="170" fontId="0" fillId="0" borderId="29" xfId="0" applyNumberFormat="1" applyBorder="1" applyAlignment="1">
      <alignment horizontal="center" vertical="center"/>
    </xf>
    <xf numFmtId="0" fontId="0" fillId="12" borderId="22" xfId="0" applyFill="1" applyBorder="1" applyAlignment="1">
      <alignment horizontal="center" vertical="center"/>
    </xf>
    <xf numFmtId="0" fontId="0" fillId="12" borderId="0" xfId="0" applyFill="1" applyAlignment="1">
      <alignment vertical="top" wrapText="1"/>
    </xf>
    <xf numFmtId="0" fontId="23" fillId="0" borderId="29" xfId="0" applyFont="1" applyBorder="1" applyAlignment="1">
      <alignment vertical="center" wrapText="1"/>
    </xf>
    <xf numFmtId="0" fontId="24" fillId="2" borderId="29" xfId="0" applyFont="1" applyFill="1" applyBorder="1" applyAlignment="1">
      <alignment vertical="center" wrapText="1"/>
    </xf>
    <xf numFmtId="0" fontId="26" fillId="13" borderId="29" xfId="0" applyFont="1" applyFill="1" applyBorder="1" applyAlignment="1">
      <alignment vertical="center" wrapText="1"/>
    </xf>
    <xf numFmtId="0" fontId="20" fillId="13" borderId="22" xfId="0" applyFont="1" applyFill="1" applyBorder="1"/>
    <xf numFmtId="170" fontId="0" fillId="13" borderId="29" xfId="0" applyNumberFormat="1" applyFill="1" applyBorder="1" applyAlignment="1">
      <alignment horizontal="center" vertical="center"/>
    </xf>
    <xf numFmtId="0" fontId="20" fillId="14" borderId="22" xfId="0" applyFont="1" applyFill="1" applyBorder="1"/>
    <xf numFmtId="170" fontId="0" fillId="14" borderId="29" xfId="0" applyNumberFormat="1" applyFill="1" applyBorder="1" applyAlignment="1">
      <alignment horizontal="center" vertical="center"/>
    </xf>
    <xf numFmtId="0" fontId="23" fillId="14" borderId="29" xfId="0" applyFont="1" applyFill="1" applyBorder="1" applyAlignment="1">
      <alignment vertical="center" wrapText="1"/>
    </xf>
    <xf numFmtId="0" fontId="23" fillId="11" borderId="29" xfId="0" applyFont="1" applyFill="1" applyBorder="1" applyAlignment="1">
      <alignment vertical="center" wrapText="1"/>
    </xf>
    <xf numFmtId="170" fontId="0" fillId="11" borderId="29" xfId="0" applyNumberFormat="1" applyFill="1" applyBorder="1" applyAlignment="1">
      <alignment horizontal="center" vertical="center"/>
    </xf>
    <xf numFmtId="0" fontId="20" fillId="15" borderId="22" xfId="0" applyFont="1" applyFill="1" applyBorder="1"/>
    <xf numFmtId="170" fontId="0" fillId="15" borderId="29" xfId="0" applyNumberFormat="1" applyFill="1" applyBorder="1" applyAlignment="1">
      <alignment horizontal="center" vertical="center"/>
    </xf>
    <xf numFmtId="0" fontId="0" fillId="15" borderId="22" xfId="0" applyFill="1" applyBorder="1" applyAlignment="1">
      <alignment horizontal="center" vertical="center"/>
    </xf>
    <xf numFmtId="0" fontId="0" fillId="15" borderId="0" xfId="0" applyFill="1" applyAlignment="1">
      <alignment vertical="top" wrapText="1"/>
    </xf>
    <xf numFmtId="0" fontId="23" fillId="15" borderId="29" xfId="0" applyFont="1" applyFill="1" applyBorder="1" applyAlignment="1">
      <alignment vertical="center"/>
    </xf>
    <xf numFmtId="0" fontId="24" fillId="13" borderId="29" xfId="0" applyFont="1" applyFill="1" applyBorder="1" applyAlignment="1">
      <alignment vertical="center" wrapText="1"/>
    </xf>
    <xf numFmtId="0" fontId="20" fillId="16" borderId="22" xfId="0" applyFont="1" applyFill="1" applyBorder="1"/>
    <xf numFmtId="170" fontId="0" fillId="16" borderId="29" xfId="0" applyNumberFormat="1" applyFill="1" applyBorder="1" applyAlignment="1">
      <alignment horizontal="center" vertical="center"/>
    </xf>
    <xf numFmtId="0" fontId="26" fillId="11" borderId="29" xfId="0" applyFont="1" applyFill="1" applyBorder="1" applyAlignment="1">
      <alignment vertical="center" wrapText="1"/>
    </xf>
    <xf numFmtId="0" fontId="27" fillId="16" borderId="29" xfId="0" applyFont="1" applyFill="1" applyBorder="1" applyAlignment="1">
      <alignment vertical="center" wrapText="1"/>
    </xf>
    <xf numFmtId="0" fontId="23" fillId="16" borderId="29" xfId="0" applyFont="1" applyFill="1" applyBorder="1" applyAlignment="1">
      <alignment vertical="center" wrapText="1"/>
    </xf>
    <xf numFmtId="0" fontId="27" fillId="16" borderId="29" xfId="0" applyFont="1" applyFill="1" applyBorder="1" applyAlignment="1">
      <alignment vertical="center"/>
    </xf>
  </cellXfs>
  <cellStyles count="8">
    <cellStyle name="Currency" xfId="1" builtinId="4"/>
    <cellStyle name="Hyperlink" xfId="4" builtinId="8"/>
    <cellStyle name="Normal" xfId="0" builtinId="0"/>
    <cellStyle name="Normal 2" xfId="2" xr:uid="{00000000-0005-0000-0000-000004000000}"/>
    <cellStyle name="Normal 3" xfId="3" xr:uid="{00000000-0005-0000-0000-000005000000}"/>
    <cellStyle name="Normal 4" xfId="5" xr:uid="{00000000-0005-0000-0000-000006000000}"/>
    <cellStyle name="Normal 5" xfId="6" xr:uid="{00000000-0005-0000-0000-000007000000}"/>
    <cellStyle name="Normal 6" xfId="7" xr:uid="{00000000-0005-0000-0000-000008000000}"/>
  </cellStyles>
  <dxfs count="10">
    <dxf>
      <fill>
        <patternFill>
          <bgColor theme="0"/>
        </patternFill>
      </fill>
    </dxf>
    <dxf>
      <fill>
        <patternFill>
          <bgColor theme="4" tint="0.79998168889431442"/>
        </patternFill>
      </fill>
    </dxf>
    <dxf>
      <fill>
        <patternFill>
          <bgColor theme="0"/>
        </patternFill>
      </fill>
    </dxf>
    <dxf>
      <fill>
        <patternFill>
          <bgColor theme="3" tint="0.79998168889431442"/>
        </patternFill>
      </fill>
    </dxf>
    <dxf>
      <fill>
        <patternFill>
          <bgColor theme="0"/>
        </patternFill>
      </fill>
    </dxf>
    <dxf>
      <fill>
        <patternFill>
          <bgColor theme="4" tint="0.79998168889431442"/>
        </patternFill>
      </fill>
    </dxf>
    <dxf>
      <fill>
        <patternFill>
          <bgColor theme="3" tint="0.79998168889431442"/>
        </patternFill>
      </fill>
    </dxf>
    <dxf>
      <fill>
        <patternFill>
          <bgColor theme="0"/>
        </patternFill>
      </fill>
    </dxf>
    <dxf>
      <fill>
        <patternFill>
          <bgColor theme="0"/>
        </patternFill>
      </fill>
    </dxf>
    <dxf>
      <fill>
        <patternFill>
          <bgColor theme="4" tint="0.79998168889431442"/>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95250</xdr:rowOff>
    </xdr:from>
    <xdr:to>
      <xdr:col>2</xdr:col>
      <xdr:colOff>819150</xdr:colOff>
      <xdr:row>3</xdr:row>
      <xdr:rowOff>95250</xdr:rowOff>
    </xdr:to>
    <xdr:cxnSp macro="">
      <xdr:nvCxnSpPr>
        <xdr:cNvPr id="3" name="Straight Arrow Connector 2">
          <a:extLst>
            <a:ext uri="{FF2B5EF4-FFF2-40B4-BE49-F238E27FC236}">
              <a16:creationId xmlns:a16="http://schemas.microsoft.com/office/drawing/2014/main" id="{00000000-0008-0000-0700-000003000000}"/>
            </a:ext>
          </a:extLst>
        </xdr:cNvPr>
        <xdr:cNvCxnSpPr/>
      </xdr:nvCxnSpPr>
      <xdr:spPr>
        <a:xfrm flipH="1">
          <a:off x="3267075" y="95250"/>
          <a:ext cx="819150" cy="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0</xdr:colOff>
      <xdr:row>68</xdr:row>
      <xdr:rowOff>0</xdr:rowOff>
    </xdr:from>
    <xdr:to>
      <xdr:col>7</xdr:col>
      <xdr:colOff>333375</xdr:colOff>
      <xdr:row>69</xdr:row>
      <xdr:rowOff>542925</xdr:rowOff>
    </xdr:to>
    <xdr:sp macro="" textlink="">
      <xdr:nvSpPr>
        <xdr:cNvPr id="2" name="AutoShape 1" descr="DEP">
          <a:extLst>
            <a:ext uri="{FF2B5EF4-FFF2-40B4-BE49-F238E27FC236}">
              <a16:creationId xmlns:a16="http://schemas.microsoft.com/office/drawing/2014/main" id="{F5E8D9FE-EB78-405F-8697-6B9B25A8D357}"/>
            </a:ext>
          </a:extLst>
        </xdr:cNvPr>
        <xdr:cNvSpPr>
          <a:spLocks noChangeAspect="1" noChangeArrowheads="1"/>
        </xdr:cNvSpPr>
      </xdr:nvSpPr>
      <xdr:spPr bwMode="auto">
        <a:xfrm>
          <a:off x="0" y="8077200"/>
          <a:ext cx="333375" cy="333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68</xdr:row>
      <xdr:rowOff>0</xdr:rowOff>
    </xdr:from>
    <xdr:to>
      <xdr:col>7</xdr:col>
      <xdr:colOff>333375</xdr:colOff>
      <xdr:row>69</xdr:row>
      <xdr:rowOff>542925</xdr:rowOff>
    </xdr:to>
    <xdr:sp macro="" textlink="">
      <xdr:nvSpPr>
        <xdr:cNvPr id="3" name="AutoShape 2" descr="ARR">
          <a:extLst>
            <a:ext uri="{FF2B5EF4-FFF2-40B4-BE49-F238E27FC236}">
              <a16:creationId xmlns:a16="http://schemas.microsoft.com/office/drawing/2014/main" id="{FF05CE31-3D52-4503-9C07-A5AE944B7B74}"/>
            </a:ext>
          </a:extLst>
        </xdr:cNvPr>
        <xdr:cNvSpPr>
          <a:spLocks noChangeAspect="1" noChangeArrowheads="1"/>
        </xdr:cNvSpPr>
      </xdr:nvSpPr>
      <xdr:spPr bwMode="auto">
        <a:xfrm>
          <a:off x="0" y="8077200"/>
          <a:ext cx="333375" cy="333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6</xdr:col>
      <xdr:colOff>0</xdr:colOff>
      <xdr:row>68</xdr:row>
      <xdr:rowOff>0</xdr:rowOff>
    </xdr:from>
    <xdr:to>
      <xdr:col>7</xdr:col>
      <xdr:colOff>333375</xdr:colOff>
      <xdr:row>69</xdr:row>
      <xdr:rowOff>542925</xdr:rowOff>
    </xdr:to>
    <xdr:sp macro="" textlink="">
      <xdr:nvSpPr>
        <xdr:cNvPr id="4" name="AutoShape 3" descr="DEP">
          <a:extLst>
            <a:ext uri="{FF2B5EF4-FFF2-40B4-BE49-F238E27FC236}">
              <a16:creationId xmlns:a16="http://schemas.microsoft.com/office/drawing/2014/main" id="{58938009-EDC1-461D-9BEE-8362B4EEBD19}"/>
            </a:ext>
          </a:extLst>
        </xdr:cNvPr>
        <xdr:cNvSpPr>
          <a:spLocks noChangeAspect="1" noChangeArrowheads="1"/>
        </xdr:cNvSpPr>
      </xdr:nvSpPr>
      <xdr:spPr bwMode="auto">
        <a:xfrm>
          <a:off x="0" y="8077200"/>
          <a:ext cx="333375" cy="3333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CNHIAD1\GROUP\CB\CB\Patricio\2013.07.17%20Copy%20of%20DELPHI%20NET%20R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 USAR"/>
      <sheetName val="USAR PARA PRECIOS NUEVOS"/>
      <sheetName val="Deposit Dates"/>
      <sheetName val="DDR RATES"/>
      <sheetName val="CXL FEES"/>
      <sheetName val="DDR  PACKAGES"/>
      <sheetName val="Room Type"/>
      <sheetName val="HHpoints"/>
    </sheetNames>
    <sheetDataSet>
      <sheetData sheetId="0"/>
      <sheetData sheetId="1"/>
      <sheetData sheetId="2"/>
      <sheetData sheetId="3"/>
      <sheetData sheetId="4"/>
      <sheetData sheetId="5"/>
      <sheetData sheetId="6">
        <row r="14">
          <cell r="AH14" t="str">
            <v>K1 Total Rooms</v>
          </cell>
          <cell r="AI14">
            <v>160</v>
          </cell>
          <cell r="AJ14">
            <v>160</v>
          </cell>
          <cell r="AK14">
            <v>160</v>
          </cell>
          <cell r="AL14">
            <v>160</v>
          </cell>
          <cell r="AM14">
            <v>160</v>
          </cell>
          <cell r="AN14">
            <v>160</v>
          </cell>
          <cell r="AO14">
            <v>160</v>
          </cell>
          <cell r="AP14">
            <v>160</v>
          </cell>
          <cell r="AQ14">
            <v>160</v>
          </cell>
          <cell r="AR14">
            <v>160</v>
          </cell>
          <cell r="AS14">
            <v>160</v>
          </cell>
          <cell r="AT14">
            <v>160</v>
          </cell>
          <cell r="AU14">
            <v>160</v>
          </cell>
          <cell r="AV14">
            <v>160</v>
          </cell>
        </row>
        <row r="15">
          <cell r="AH15" t="str">
            <v>K1 Available</v>
          </cell>
          <cell r="AI15">
            <v>123</v>
          </cell>
          <cell r="AJ15">
            <v>10</v>
          </cell>
          <cell r="AK15">
            <v>4</v>
          </cell>
          <cell r="AL15">
            <v>21</v>
          </cell>
          <cell r="AM15">
            <v>27</v>
          </cell>
          <cell r="AN15">
            <v>10</v>
          </cell>
          <cell r="AO15">
            <v>11</v>
          </cell>
          <cell r="AP15">
            <v>32</v>
          </cell>
          <cell r="AQ15">
            <v>47</v>
          </cell>
          <cell r="AR15">
            <v>62</v>
          </cell>
          <cell r="AS15">
            <v>103</v>
          </cell>
          <cell r="AT15">
            <v>96</v>
          </cell>
          <cell r="AU15">
            <v>67</v>
          </cell>
          <cell r="AV15">
            <v>28</v>
          </cell>
        </row>
        <row r="16">
          <cell r="AH16" t="str">
            <v>K1 Sold</v>
          </cell>
          <cell r="AI16">
            <v>10</v>
          </cell>
          <cell r="AJ16">
            <v>9</v>
          </cell>
          <cell r="AK16">
            <v>16</v>
          </cell>
          <cell r="AL16">
            <v>21</v>
          </cell>
          <cell r="AM16">
            <v>23</v>
          </cell>
          <cell r="AN16">
            <v>25</v>
          </cell>
          <cell r="AO16">
            <v>24</v>
          </cell>
          <cell r="AP16">
            <v>28</v>
          </cell>
          <cell r="AQ16">
            <v>32</v>
          </cell>
          <cell r="AR16">
            <v>43</v>
          </cell>
          <cell r="AS16">
            <v>35</v>
          </cell>
          <cell r="AT16">
            <v>35</v>
          </cell>
          <cell r="AU16">
            <v>36</v>
          </cell>
          <cell r="AV16">
            <v>37</v>
          </cell>
        </row>
        <row r="17">
          <cell r="AH17" t="str">
            <v>K1 Blocked</v>
          </cell>
          <cell r="AI17">
            <v>43</v>
          </cell>
          <cell r="AJ17">
            <v>157</v>
          </cell>
          <cell r="AK17">
            <v>156</v>
          </cell>
          <cell r="AL17">
            <v>134</v>
          </cell>
          <cell r="AM17">
            <v>126</v>
          </cell>
          <cell r="AN17">
            <v>141</v>
          </cell>
          <cell r="AO17">
            <v>141</v>
          </cell>
          <cell r="AP17">
            <v>116</v>
          </cell>
          <cell r="AQ17">
            <v>97</v>
          </cell>
          <cell r="AR17">
            <v>71</v>
          </cell>
          <cell r="AS17">
            <v>38</v>
          </cell>
          <cell r="AT17">
            <v>45</v>
          </cell>
          <cell r="AU17">
            <v>73</v>
          </cell>
          <cell r="AV17">
            <v>111</v>
          </cell>
        </row>
        <row r="18">
          <cell r="AH18" t="str">
            <v>K1 Manager Hold</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row>
        <row r="19">
          <cell r="AH19" t="str">
            <v>K1 Out Of Order</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row>
        <row r="20">
          <cell r="AH20" t="str">
            <v>K1 Overbooking</v>
          </cell>
          <cell r="AI20">
            <v>16</v>
          </cell>
          <cell r="AJ20">
            <v>16</v>
          </cell>
          <cell r="AK20">
            <v>16</v>
          </cell>
          <cell r="AL20">
            <v>16</v>
          </cell>
          <cell r="AM20">
            <v>16</v>
          </cell>
          <cell r="AN20">
            <v>16</v>
          </cell>
          <cell r="AO20">
            <v>16</v>
          </cell>
          <cell r="AP20">
            <v>16</v>
          </cell>
          <cell r="AQ20">
            <v>16</v>
          </cell>
          <cell r="AR20">
            <v>16</v>
          </cell>
          <cell r="AS20">
            <v>16</v>
          </cell>
          <cell r="AT20">
            <v>16</v>
          </cell>
          <cell r="AU20">
            <v>16</v>
          </cell>
          <cell r="AV20">
            <v>16</v>
          </cell>
        </row>
        <row r="21">
          <cell r="AH21" t="str">
            <v>K1 Closed</v>
          </cell>
          <cell r="AI21" t="str">
            <v>N</v>
          </cell>
          <cell r="AJ21" t="str">
            <v>N</v>
          </cell>
          <cell r="AK21" t="str">
            <v>N</v>
          </cell>
          <cell r="AL21" t="str">
            <v>N</v>
          </cell>
          <cell r="AM21" t="str">
            <v>N</v>
          </cell>
          <cell r="AN21" t="str">
            <v>N</v>
          </cell>
          <cell r="AO21" t="str">
            <v>N</v>
          </cell>
          <cell r="AP21" t="str">
            <v>N</v>
          </cell>
          <cell r="AQ21" t="str">
            <v>N</v>
          </cell>
          <cell r="AR21" t="str">
            <v>N</v>
          </cell>
          <cell r="AS21" t="str">
            <v>N</v>
          </cell>
          <cell r="AT21" t="str">
            <v>N</v>
          </cell>
          <cell r="AU21" t="str">
            <v>N</v>
          </cell>
          <cell r="AV21" t="str">
            <v>N</v>
          </cell>
        </row>
        <row r="22">
          <cell r="AH22" t="str">
            <v>K1 Closed To Arrival</v>
          </cell>
          <cell r="AI22" t="str">
            <v>N</v>
          </cell>
          <cell r="AJ22" t="str">
            <v>N</v>
          </cell>
          <cell r="AK22" t="str">
            <v>N</v>
          </cell>
          <cell r="AL22" t="str">
            <v>N</v>
          </cell>
          <cell r="AM22" t="str">
            <v>N</v>
          </cell>
          <cell r="AN22" t="str">
            <v>N</v>
          </cell>
          <cell r="AO22" t="str">
            <v>N</v>
          </cell>
          <cell r="AP22" t="str">
            <v>N</v>
          </cell>
          <cell r="AQ22" t="str">
            <v>N</v>
          </cell>
          <cell r="AR22" t="str">
            <v>N</v>
          </cell>
          <cell r="AS22" t="str">
            <v>N</v>
          </cell>
          <cell r="AT22" t="str">
            <v>N</v>
          </cell>
          <cell r="AU22" t="str">
            <v>N</v>
          </cell>
          <cell r="AV22" t="str">
            <v>N</v>
          </cell>
        </row>
        <row r="23">
          <cell r="AH23" t="str">
            <v>K1 LOS Pattern</v>
          </cell>
          <cell r="AI23">
            <v>1234567</v>
          </cell>
          <cell r="AJ23">
            <v>1234567</v>
          </cell>
          <cell r="AK23">
            <v>1234567</v>
          </cell>
          <cell r="AL23">
            <v>1234567</v>
          </cell>
          <cell r="AM23">
            <v>1234567</v>
          </cell>
          <cell r="AN23">
            <v>1234567</v>
          </cell>
          <cell r="AO23">
            <v>1234567</v>
          </cell>
          <cell r="AP23">
            <v>1234567</v>
          </cell>
          <cell r="AQ23">
            <v>1234567</v>
          </cell>
          <cell r="AR23">
            <v>1234567</v>
          </cell>
          <cell r="AS23">
            <v>1234567</v>
          </cell>
          <cell r="AT23">
            <v>1234567</v>
          </cell>
          <cell r="AU23">
            <v>1234567</v>
          </cell>
          <cell r="AV23">
            <v>1234567</v>
          </cell>
        </row>
        <row r="24">
          <cell r="AH24" t="str">
            <v>K1 Min LOS</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row>
        <row r="25">
          <cell r="AH25" t="str">
            <v>K1 Max LOS</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row>
        <row r="26">
          <cell r="AH26" t="str">
            <v>K1E Total Rooms</v>
          </cell>
          <cell r="AI26">
            <v>48</v>
          </cell>
          <cell r="AJ26">
            <v>48</v>
          </cell>
          <cell r="AK26">
            <v>48</v>
          </cell>
          <cell r="AL26">
            <v>48</v>
          </cell>
          <cell r="AM26">
            <v>48</v>
          </cell>
          <cell r="AN26">
            <v>48</v>
          </cell>
          <cell r="AO26">
            <v>48</v>
          </cell>
          <cell r="AP26">
            <v>48</v>
          </cell>
          <cell r="AQ26">
            <v>48</v>
          </cell>
          <cell r="AR26">
            <v>48</v>
          </cell>
          <cell r="AS26">
            <v>48</v>
          </cell>
          <cell r="AT26">
            <v>48</v>
          </cell>
          <cell r="AU26">
            <v>48</v>
          </cell>
          <cell r="AV26">
            <v>48</v>
          </cell>
        </row>
        <row r="27">
          <cell r="AH27" t="str">
            <v>K1E Available</v>
          </cell>
          <cell r="AI27">
            <v>49</v>
          </cell>
          <cell r="AJ27">
            <v>50</v>
          </cell>
          <cell r="AK27">
            <v>8</v>
          </cell>
          <cell r="AL27">
            <v>1</v>
          </cell>
          <cell r="AM27">
            <v>-4</v>
          </cell>
          <cell r="AN27">
            <v>-1</v>
          </cell>
          <cell r="AO27">
            <v>-1</v>
          </cell>
          <cell r="AP27">
            <v>3</v>
          </cell>
          <cell r="AQ27">
            <v>48</v>
          </cell>
          <cell r="AR27">
            <v>48</v>
          </cell>
          <cell r="AS27">
            <v>47</v>
          </cell>
          <cell r="AT27">
            <v>48</v>
          </cell>
          <cell r="AU27">
            <v>48</v>
          </cell>
          <cell r="AV27">
            <v>44</v>
          </cell>
        </row>
        <row r="28">
          <cell r="AH28" t="str">
            <v>K1E Sold</v>
          </cell>
          <cell r="AI28">
            <v>1</v>
          </cell>
          <cell r="AJ28">
            <v>0</v>
          </cell>
          <cell r="AK28">
            <v>0</v>
          </cell>
          <cell r="AL28">
            <v>0</v>
          </cell>
          <cell r="AM28">
            <v>0</v>
          </cell>
          <cell r="AN28">
            <v>0</v>
          </cell>
          <cell r="AO28">
            <v>0</v>
          </cell>
          <cell r="AP28">
            <v>0</v>
          </cell>
          <cell r="AQ28">
            <v>1</v>
          </cell>
          <cell r="AR28">
            <v>1</v>
          </cell>
          <cell r="AS28">
            <v>2</v>
          </cell>
          <cell r="AT28">
            <v>1</v>
          </cell>
          <cell r="AU28">
            <v>0</v>
          </cell>
          <cell r="AV28">
            <v>0</v>
          </cell>
        </row>
        <row r="29">
          <cell r="AH29" t="str">
            <v>K1E Blocked</v>
          </cell>
          <cell r="AI29">
            <v>0</v>
          </cell>
          <cell r="AJ29">
            <v>0</v>
          </cell>
          <cell r="AK29">
            <v>42</v>
          </cell>
          <cell r="AL29">
            <v>49</v>
          </cell>
          <cell r="AM29">
            <v>52</v>
          </cell>
          <cell r="AN29">
            <v>52</v>
          </cell>
          <cell r="AO29">
            <v>52</v>
          </cell>
          <cell r="AP29">
            <v>47</v>
          </cell>
          <cell r="AQ29">
            <v>0</v>
          </cell>
          <cell r="AR29">
            <v>0</v>
          </cell>
          <cell r="AS29">
            <v>0</v>
          </cell>
          <cell r="AT29">
            <v>0</v>
          </cell>
          <cell r="AU29">
            <v>2</v>
          </cell>
          <cell r="AV29">
            <v>8</v>
          </cell>
        </row>
        <row r="30">
          <cell r="AH30" t="str">
            <v>K1E Manager Hold</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row>
        <row r="31">
          <cell r="AH31" t="str">
            <v>K1E Out Of Order</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row>
        <row r="32">
          <cell r="AH32" t="str">
            <v>K1E Overbooking</v>
          </cell>
          <cell r="AI32">
            <v>2</v>
          </cell>
          <cell r="AJ32">
            <v>2</v>
          </cell>
          <cell r="AK32">
            <v>2</v>
          </cell>
          <cell r="AL32">
            <v>2</v>
          </cell>
          <cell r="AM32">
            <v>0</v>
          </cell>
          <cell r="AN32">
            <v>3</v>
          </cell>
          <cell r="AO32">
            <v>3</v>
          </cell>
          <cell r="AP32">
            <v>2</v>
          </cell>
          <cell r="AQ32">
            <v>1</v>
          </cell>
          <cell r="AR32">
            <v>1</v>
          </cell>
          <cell r="AS32">
            <v>1</v>
          </cell>
          <cell r="AT32">
            <v>1</v>
          </cell>
          <cell r="AU32">
            <v>2</v>
          </cell>
          <cell r="AV32">
            <v>4</v>
          </cell>
        </row>
        <row r="33">
          <cell r="AH33" t="str">
            <v>K1E Closed</v>
          </cell>
          <cell r="AI33" t="str">
            <v>N</v>
          </cell>
          <cell r="AJ33" t="str">
            <v>N</v>
          </cell>
          <cell r="AK33" t="str">
            <v>N</v>
          </cell>
          <cell r="AL33" t="str">
            <v>N</v>
          </cell>
          <cell r="AM33" t="str">
            <v>N</v>
          </cell>
          <cell r="AN33" t="str">
            <v>N</v>
          </cell>
          <cell r="AO33" t="str">
            <v>N</v>
          </cell>
          <cell r="AP33" t="str">
            <v>N</v>
          </cell>
          <cell r="AQ33" t="str">
            <v>N</v>
          </cell>
          <cell r="AR33" t="str">
            <v>N</v>
          </cell>
          <cell r="AS33" t="str">
            <v>N</v>
          </cell>
          <cell r="AT33" t="str">
            <v>N</v>
          </cell>
          <cell r="AU33" t="str">
            <v>N</v>
          </cell>
          <cell r="AV33" t="str">
            <v>N</v>
          </cell>
        </row>
        <row r="34">
          <cell r="AH34" t="str">
            <v>K1E Closed To Arrival</v>
          </cell>
          <cell r="AI34" t="str">
            <v>N</v>
          </cell>
          <cell r="AJ34" t="str">
            <v>N</v>
          </cell>
          <cell r="AK34" t="str">
            <v>N</v>
          </cell>
          <cell r="AL34" t="str">
            <v>N</v>
          </cell>
          <cell r="AM34" t="str">
            <v>N</v>
          </cell>
          <cell r="AN34" t="str">
            <v>N</v>
          </cell>
          <cell r="AO34" t="str">
            <v>N</v>
          </cell>
          <cell r="AP34" t="str">
            <v>N</v>
          </cell>
          <cell r="AQ34" t="str">
            <v>N</v>
          </cell>
          <cell r="AR34" t="str">
            <v>N</v>
          </cell>
          <cell r="AS34" t="str">
            <v>N</v>
          </cell>
          <cell r="AT34" t="str">
            <v>N</v>
          </cell>
          <cell r="AU34" t="str">
            <v>N</v>
          </cell>
          <cell r="AV34" t="str">
            <v>N</v>
          </cell>
        </row>
        <row r="35">
          <cell r="AH35" t="str">
            <v>K1E LOS Pattern</v>
          </cell>
          <cell r="AI35">
            <v>1234567</v>
          </cell>
          <cell r="AJ35">
            <v>1234567</v>
          </cell>
          <cell r="AK35">
            <v>1234567</v>
          </cell>
          <cell r="AL35">
            <v>1234567</v>
          </cell>
          <cell r="AM35">
            <v>1234567</v>
          </cell>
          <cell r="AN35">
            <v>1234567</v>
          </cell>
          <cell r="AO35">
            <v>1234567</v>
          </cell>
          <cell r="AP35">
            <v>1234567</v>
          </cell>
          <cell r="AQ35">
            <v>1234567</v>
          </cell>
          <cell r="AR35">
            <v>1234567</v>
          </cell>
          <cell r="AS35">
            <v>1234567</v>
          </cell>
          <cell r="AT35">
            <v>1234567</v>
          </cell>
          <cell r="AU35">
            <v>1234567</v>
          </cell>
          <cell r="AV35">
            <v>1234567</v>
          </cell>
        </row>
        <row r="36">
          <cell r="AH36" t="str">
            <v>K1E Min LOS</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row>
        <row r="37">
          <cell r="AH37" t="str">
            <v>K1E Max LOS</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row>
        <row r="38">
          <cell r="AH38" t="str">
            <v>K1ERA Total Rooms</v>
          </cell>
          <cell r="AI38">
            <v>2</v>
          </cell>
          <cell r="AJ38">
            <v>2</v>
          </cell>
          <cell r="AK38">
            <v>2</v>
          </cell>
          <cell r="AL38">
            <v>2</v>
          </cell>
          <cell r="AM38">
            <v>2</v>
          </cell>
          <cell r="AN38">
            <v>2</v>
          </cell>
          <cell r="AO38">
            <v>2</v>
          </cell>
          <cell r="AP38">
            <v>2</v>
          </cell>
          <cell r="AQ38">
            <v>2</v>
          </cell>
          <cell r="AR38">
            <v>2</v>
          </cell>
          <cell r="AS38">
            <v>2</v>
          </cell>
          <cell r="AT38">
            <v>2</v>
          </cell>
          <cell r="AU38">
            <v>2</v>
          </cell>
          <cell r="AV38">
            <v>2</v>
          </cell>
        </row>
        <row r="39">
          <cell r="AH39" t="str">
            <v>K1ERA Available</v>
          </cell>
          <cell r="AI39">
            <v>2</v>
          </cell>
          <cell r="AJ39">
            <v>2</v>
          </cell>
          <cell r="AK39">
            <v>2</v>
          </cell>
          <cell r="AL39">
            <v>2</v>
          </cell>
          <cell r="AM39">
            <v>2</v>
          </cell>
          <cell r="AN39">
            <v>2</v>
          </cell>
          <cell r="AO39">
            <v>2</v>
          </cell>
          <cell r="AP39">
            <v>2</v>
          </cell>
          <cell r="AQ39">
            <v>2</v>
          </cell>
          <cell r="AR39">
            <v>2</v>
          </cell>
          <cell r="AS39">
            <v>2</v>
          </cell>
          <cell r="AT39">
            <v>2</v>
          </cell>
          <cell r="AU39">
            <v>2</v>
          </cell>
          <cell r="AV39">
            <v>2</v>
          </cell>
        </row>
        <row r="40">
          <cell r="AH40" t="str">
            <v>K1ERA Sold</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row>
        <row r="41">
          <cell r="AH41" t="str">
            <v>K1ERA Blocked</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row>
        <row r="42">
          <cell r="AH42" t="str">
            <v>K1ERA Manager Hold</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row>
        <row r="43">
          <cell r="AH43" t="str">
            <v>K1ERA Out Of Order</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row>
        <row r="44">
          <cell r="AH44" t="str">
            <v>K1ERA Overbooking</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row>
        <row r="45">
          <cell r="AH45" t="str">
            <v>K1ERA Closed</v>
          </cell>
          <cell r="AI45" t="str">
            <v>N</v>
          </cell>
          <cell r="AJ45" t="str">
            <v>N</v>
          </cell>
          <cell r="AK45" t="str">
            <v>N</v>
          </cell>
          <cell r="AL45" t="str">
            <v>N</v>
          </cell>
          <cell r="AM45" t="str">
            <v>N</v>
          </cell>
          <cell r="AN45" t="str">
            <v>N</v>
          </cell>
          <cell r="AO45" t="str">
            <v>N</v>
          </cell>
          <cell r="AP45" t="str">
            <v>N</v>
          </cell>
          <cell r="AQ45" t="str">
            <v>N</v>
          </cell>
          <cell r="AR45" t="str">
            <v>N</v>
          </cell>
          <cell r="AS45" t="str">
            <v>N</v>
          </cell>
          <cell r="AT45" t="str">
            <v>N</v>
          </cell>
          <cell r="AU45" t="str">
            <v>N</v>
          </cell>
          <cell r="AV45" t="str">
            <v>N</v>
          </cell>
        </row>
        <row r="46">
          <cell r="AH46" t="str">
            <v>K1ERA Closed To Arrival</v>
          </cell>
          <cell r="AI46" t="str">
            <v>N</v>
          </cell>
          <cell r="AJ46" t="str">
            <v>N</v>
          </cell>
          <cell r="AK46" t="str">
            <v>N</v>
          </cell>
          <cell r="AL46" t="str">
            <v>N</v>
          </cell>
          <cell r="AM46" t="str">
            <v>N</v>
          </cell>
          <cell r="AN46" t="str">
            <v>N</v>
          </cell>
          <cell r="AO46" t="str">
            <v>N</v>
          </cell>
          <cell r="AP46" t="str">
            <v>N</v>
          </cell>
          <cell r="AQ46" t="str">
            <v>N</v>
          </cell>
          <cell r="AR46" t="str">
            <v>N</v>
          </cell>
          <cell r="AS46" t="str">
            <v>N</v>
          </cell>
          <cell r="AT46" t="str">
            <v>N</v>
          </cell>
          <cell r="AU46" t="str">
            <v>N</v>
          </cell>
          <cell r="AV46" t="str">
            <v>N</v>
          </cell>
        </row>
        <row r="47">
          <cell r="AH47" t="str">
            <v>K1ERA LOS Pattern</v>
          </cell>
          <cell r="AI47">
            <v>1234567</v>
          </cell>
          <cell r="AJ47">
            <v>1234567</v>
          </cell>
          <cell r="AK47">
            <v>1234567</v>
          </cell>
          <cell r="AL47">
            <v>1234567</v>
          </cell>
          <cell r="AM47">
            <v>1234567</v>
          </cell>
          <cell r="AN47">
            <v>1234567</v>
          </cell>
          <cell r="AO47">
            <v>1234567</v>
          </cell>
          <cell r="AP47">
            <v>1234567</v>
          </cell>
          <cell r="AQ47">
            <v>1234567</v>
          </cell>
          <cell r="AR47">
            <v>1234567</v>
          </cell>
          <cell r="AS47">
            <v>1234567</v>
          </cell>
          <cell r="AT47">
            <v>1234567</v>
          </cell>
          <cell r="AU47">
            <v>1234567</v>
          </cell>
          <cell r="AV47">
            <v>1234567</v>
          </cell>
        </row>
        <row r="48">
          <cell r="AH48" t="str">
            <v>K1ERA Min LOS</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row>
        <row r="49">
          <cell r="AH49" t="str">
            <v>K1ERA Max LOS</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row>
        <row r="50">
          <cell r="AH50" t="str">
            <v>K1ERP1 Total Rooms</v>
          </cell>
          <cell r="AI50">
            <v>11</v>
          </cell>
          <cell r="AJ50">
            <v>11</v>
          </cell>
          <cell r="AK50">
            <v>11</v>
          </cell>
          <cell r="AL50">
            <v>11</v>
          </cell>
          <cell r="AM50">
            <v>11</v>
          </cell>
          <cell r="AN50">
            <v>11</v>
          </cell>
          <cell r="AO50">
            <v>11</v>
          </cell>
          <cell r="AP50">
            <v>11</v>
          </cell>
          <cell r="AQ50">
            <v>11</v>
          </cell>
          <cell r="AR50">
            <v>11</v>
          </cell>
          <cell r="AS50">
            <v>11</v>
          </cell>
          <cell r="AT50">
            <v>11</v>
          </cell>
          <cell r="AU50">
            <v>11</v>
          </cell>
          <cell r="AV50">
            <v>11</v>
          </cell>
        </row>
        <row r="51">
          <cell r="AH51" t="str">
            <v>K1ERP1 Available</v>
          </cell>
          <cell r="AI51">
            <v>11</v>
          </cell>
          <cell r="AJ51">
            <v>11</v>
          </cell>
          <cell r="AK51">
            <v>7</v>
          </cell>
          <cell r="AL51">
            <v>2</v>
          </cell>
          <cell r="AM51">
            <v>2</v>
          </cell>
          <cell r="AN51">
            <v>1</v>
          </cell>
          <cell r="AO51">
            <v>1</v>
          </cell>
          <cell r="AP51">
            <v>6</v>
          </cell>
          <cell r="AQ51">
            <v>11</v>
          </cell>
          <cell r="AR51">
            <v>11</v>
          </cell>
          <cell r="AS51">
            <v>11</v>
          </cell>
          <cell r="AT51">
            <v>10</v>
          </cell>
          <cell r="AU51">
            <v>10</v>
          </cell>
          <cell r="AV51">
            <v>5</v>
          </cell>
        </row>
        <row r="52">
          <cell r="AH52" t="str">
            <v>K1ERP1 Sold</v>
          </cell>
          <cell r="AI52">
            <v>0</v>
          </cell>
          <cell r="AJ52">
            <v>0</v>
          </cell>
          <cell r="AK52">
            <v>0</v>
          </cell>
          <cell r="AL52">
            <v>0</v>
          </cell>
          <cell r="AM52">
            <v>0</v>
          </cell>
          <cell r="AN52">
            <v>1</v>
          </cell>
          <cell r="AO52">
            <v>1</v>
          </cell>
          <cell r="AP52">
            <v>1</v>
          </cell>
          <cell r="AQ52">
            <v>0</v>
          </cell>
          <cell r="AR52">
            <v>0</v>
          </cell>
          <cell r="AS52">
            <v>0</v>
          </cell>
          <cell r="AT52">
            <v>1</v>
          </cell>
          <cell r="AU52">
            <v>1</v>
          </cell>
          <cell r="AV52">
            <v>1</v>
          </cell>
        </row>
        <row r="53">
          <cell r="AH53" t="str">
            <v>K1ERP1 Blocked</v>
          </cell>
          <cell r="AI53">
            <v>0</v>
          </cell>
          <cell r="AJ53">
            <v>0</v>
          </cell>
          <cell r="AK53">
            <v>4</v>
          </cell>
          <cell r="AL53">
            <v>9</v>
          </cell>
          <cell r="AM53">
            <v>9</v>
          </cell>
          <cell r="AN53">
            <v>9</v>
          </cell>
          <cell r="AO53">
            <v>9</v>
          </cell>
          <cell r="AP53">
            <v>4</v>
          </cell>
          <cell r="AQ53">
            <v>0</v>
          </cell>
          <cell r="AR53">
            <v>0</v>
          </cell>
          <cell r="AS53">
            <v>0</v>
          </cell>
          <cell r="AT53">
            <v>0</v>
          </cell>
          <cell r="AU53">
            <v>0</v>
          </cell>
          <cell r="AV53">
            <v>5</v>
          </cell>
        </row>
        <row r="54">
          <cell r="AH54" t="str">
            <v>K1ERP1 Manager Hold</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row>
        <row r="55">
          <cell r="AH55" t="str">
            <v>K1ERP1 Out Of Order</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row>
        <row r="56">
          <cell r="AH56" t="str">
            <v>K1ERP1 Overbooking</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row>
        <row r="57">
          <cell r="AH57" t="str">
            <v>K1ERP1 Closed</v>
          </cell>
          <cell r="AI57" t="str">
            <v>N</v>
          </cell>
          <cell r="AJ57" t="str">
            <v>N</v>
          </cell>
          <cell r="AK57" t="str">
            <v>N</v>
          </cell>
          <cell r="AL57" t="str">
            <v>N</v>
          </cell>
          <cell r="AM57" t="str">
            <v>N</v>
          </cell>
          <cell r="AN57" t="str">
            <v>N</v>
          </cell>
          <cell r="AO57" t="str">
            <v>N</v>
          </cell>
          <cell r="AP57" t="str">
            <v>N</v>
          </cell>
          <cell r="AQ57" t="str">
            <v>N</v>
          </cell>
          <cell r="AR57" t="str">
            <v>N</v>
          </cell>
          <cell r="AS57" t="str">
            <v>N</v>
          </cell>
          <cell r="AT57" t="str">
            <v>N</v>
          </cell>
          <cell r="AU57" t="str">
            <v>N</v>
          </cell>
          <cell r="AV57" t="str">
            <v>N</v>
          </cell>
        </row>
        <row r="58">
          <cell r="AH58" t="str">
            <v>K1ERP1 Closed To Arrival</v>
          </cell>
          <cell r="AI58" t="str">
            <v>N</v>
          </cell>
          <cell r="AJ58" t="str">
            <v>N</v>
          </cell>
          <cell r="AK58" t="str">
            <v>N</v>
          </cell>
          <cell r="AL58" t="str">
            <v>N</v>
          </cell>
          <cell r="AM58" t="str">
            <v>N</v>
          </cell>
          <cell r="AN58" t="str">
            <v>N</v>
          </cell>
          <cell r="AO58" t="str">
            <v>N</v>
          </cell>
          <cell r="AP58" t="str">
            <v>N</v>
          </cell>
          <cell r="AQ58" t="str">
            <v>N</v>
          </cell>
          <cell r="AR58" t="str">
            <v>N</v>
          </cell>
          <cell r="AS58" t="str">
            <v>N</v>
          </cell>
          <cell r="AT58" t="str">
            <v>N</v>
          </cell>
          <cell r="AU58" t="str">
            <v>N</v>
          </cell>
          <cell r="AV58" t="str">
            <v>N</v>
          </cell>
        </row>
        <row r="59">
          <cell r="AH59" t="str">
            <v>K1ERP1 LOS Pattern</v>
          </cell>
          <cell r="AI59">
            <v>1234567</v>
          </cell>
          <cell r="AJ59">
            <v>1234567</v>
          </cell>
          <cell r="AK59">
            <v>1234567</v>
          </cell>
          <cell r="AL59">
            <v>1234567</v>
          </cell>
          <cell r="AM59">
            <v>1234567</v>
          </cell>
          <cell r="AN59">
            <v>1234567</v>
          </cell>
          <cell r="AO59">
            <v>1234567</v>
          </cell>
          <cell r="AP59">
            <v>1234567</v>
          </cell>
          <cell r="AQ59">
            <v>1234567</v>
          </cell>
          <cell r="AR59">
            <v>1234567</v>
          </cell>
          <cell r="AS59">
            <v>1234567</v>
          </cell>
          <cell r="AT59">
            <v>1234567</v>
          </cell>
          <cell r="AU59">
            <v>1234567</v>
          </cell>
          <cell r="AV59">
            <v>1234567</v>
          </cell>
        </row>
        <row r="60">
          <cell r="AH60" t="str">
            <v>K1ERP1 Min LOS</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row>
        <row r="61">
          <cell r="AH61" t="str">
            <v>K1ERP1 Max LOS</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row>
        <row r="62">
          <cell r="AH62" t="str">
            <v>T2 Total Rooms</v>
          </cell>
          <cell r="AI62">
            <v>61</v>
          </cell>
          <cell r="AJ62">
            <v>61</v>
          </cell>
          <cell r="AK62">
            <v>61</v>
          </cell>
          <cell r="AL62">
            <v>61</v>
          </cell>
          <cell r="AM62">
            <v>61</v>
          </cell>
          <cell r="AN62">
            <v>61</v>
          </cell>
          <cell r="AO62">
            <v>61</v>
          </cell>
          <cell r="AP62">
            <v>61</v>
          </cell>
          <cell r="AQ62">
            <v>61</v>
          </cell>
          <cell r="AR62">
            <v>61</v>
          </cell>
          <cell r="AS62">
            <v>61</v>
          </cell>
          <cell r="AT62">
            <v>61</v>
          </cell>
          <cell r="AU62">
            <v>61</v>
          </cell>
          <cell r="AV62">
            <v>61</v>
          </cell>
        </row>
        <row r="63">
          <cell r="AH63" t="str">
            <v>T2 Available</v>
          </cell>
          <cell r="AI63">
            <v>66</v>
          </cell>
          <cell r="AJ63">
            <v>47</v>
          </cell>
          <cell r="AK63">
            <v>46</v>
          </cell>
          <cell r="AL63">
            <v>48</v>
          </cell>
          <cell r="AM63">
            <v>40</v>
          </cell>
          <cell r="AN63">
            <v>38</v>
          </cell>
          <cell r="AO63">
            <v>39</v>
          </cell>
          <cell r="AP63">
            <v>43</v>
          </cell>
          <cell r="AQ63">
            <v>59</v>
          </cell>
          <cell r="AR63">
            <v>65</v>
          </cell>
          <cell r="AS63">
            <v>64</v>
          </cell>
          <cell r="AT63">
            <v>62</v>
          </cell>
          <cell r="AU63">
            <v>63</v>
          </cell>
          <cell r="AV63">
            <v>30</v>
          </cell>
        </row>
        <row r="64">
          <cell r="AH64" t="str">
            <v>T2 Sold</v>
          </cell>
          <cell r="AI64">
            <v>1</v>
          </cell>
          <cell r="AJ64">
            <v>0</v>
          </cell>
          <cell r="AK64">
            <v>1</v>
          </cell>
          <cell r="AL64">
            <v>9</v>
          </cell>
          <cell r="AM64">
            <v>17</v>
          </cell>
          <cell r="AN64">
            <v>19</v>
          </cell>
          <cell r="AO64">
            <v>18</v>
          </cell>
          <cell r="AP64">
            <v>14</v>
          </cell>
          <cell r="AQ64">
            <v>8</v>
          </cell>
          <cell r="AR64">
            <v>2</v>
          </cell>
          <cell r="AS64">
            <v>3</v>
          </cell>
          <cell r="AT64">
            <v>5</v>
          </cell>
          <cell r="AU64">
            <v>4</v>
          </cell>
          <cell r="AV64">
            <v>2</v>
          </cell>
        </row>
        <row r="65">
          <cell r="AH65" t="str">
            <v>T2 Blocked</v>
          </cell>
          <cell r="AI65">
            <v>0</v>
          </cell>
          <cell r="AJ65">
            <v>20</v>
          </cell>
          <cell r="AK65">
            <v>20</v>
          </cell>
          <cell r="AL65">
            <v>10</v>
          </cell>
          <cell r="AM65">
            <v>10</v>
          </cell>
          <cell r="AN65">
            <v>10</v>
          </cell>
          <cell r="AO65">
            <v>10</v>
          </cell>
          <cell r="AP65">
            <v>10</v>
          </cell>
          <cell r="AQ65">
            <v>0</v>
          </cell>
          <cell r="AR65">
            <v>0</v>
          </cell>
          <cell r="AS65">
            <v>0</v>
          </cell>
          <cell r="AT65">
            <v>0</v>
          </cell>
          <cell r="AU65">
            <v>0</v>
          </cell>
          <cell r="AV65">
            <v>35</v>
          </cell>
        </row>
        <row r="66">
          <cell r="AH66" t="str">
            <v>T2 Manager Hold</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row>
        <row r="67">
          <cell r="AH67" t="str">
            <v>T2 Out Of Order</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row>
        <row r="68">
          <cell r="AH68" t="str">
            <v>T2 Overbooking</v>
          </cell>
          <cell r="AI68">
            <v>6</v>
          </cell>
          <cell r="AJ68">
            <v>6</v>
          </cell>
          <cell r="AK68">
            <v>6</v>
          </cell>
          <cell r="AL68">
            <v>6</v>
          </cell>
          <cell r="AM68">
            <v>6</v>
          </cell>
          <cell r="AN68">
            <v>6</v>
          </cell>
          <cell r="AO68">
            <v>6</v>
          </cell>
          <cell r="AP68">
            <v>6</v>
          </cell>
          <cell r="AQ68">
            <v>6</v>
          </cell>
          <cell r="AR68">
            <v>6</v>
          </cell>
          <cell r="AS68">
            <v>6</v>
          </cell>
          <cell r="AT68">
            <v>6</v>
          </cell>
          <cell r="AU68">
            <v>6</v>
          </cell>
          <cell r="AV68">
            <v>6</v>
          </cell>
        </row>
        <row r="69">
          <cell r="AH69" t="str">
            <v>T2 Closed</v>
          </cell>
          <cell r="AI69" t="str">
            <v>N</v>
          </cell>
          <cell r="AJ69" t="str">
            <v>N</v>
          </cell>
          <cell r="AK69" t="str">
            <v>N</v>
          </cell>
          <cell r="AL69" t="str">
            <v>N</v>
          </cell>
          <cell r="AM69" t="str">
            <v>N</v>
          </cell>
          <cell r="AN69" t="str">
            <v>N</v>
          </cell>
          <cell r="AO69" t="str">
            <v>N</v>
          </cell>
          <cell r="AP69" t="str">
            <v>N</v>
          </cell>
          <cell r="AQ69" t="str">
            <v>N</v>
          </cell>
          <cell r="AR69" t="str">
            <v>N</v>
          </cell>
          <cell r="AS69" t="str">
            <v>N</v>
          </cell>
          <cell r="AT69" t="str">
            <v>N</v>
          </cell>
          <cell r="AU69" t="str">
            <v>N</v>
          </cell>
          <cell r="AV69" t="str">
            <v>N</v>
          </cell>
        </row>
        <row r="70">
          <cell r="AH70" t="str">
            <v>T2 Closed To Arrival</v>
          </cell>
          <cell r="AI70" t="str">
            <v>N</v>
          </cell>
          <cell r="AJ70" t="str">
            <v>N</v>
          </cell>
          <cell r="AK70" t="str">
            <v>N</v>
          </cell>
          <cell r="AL70" t="str">
            <v>N</v>
          </cell>
          <cell r="AM70" t="str">
            <v>N</v>
          </cell>
          <cell r="AN70" t="str">
            <v>N</v>
          </cell>
          <cell r="AO70" t="str">
            <v>N</v>
          </cell>
          <cell r="AP70" t="str">
            <v>N</v>
          </cell>
          <cell r="AQ70" t="str">
            <v>N</v>
          </cell>
          <cell r="AR70" t="str">
            <v>N</v>
          </cell>
          <cell r="AS70" t="str">
            <v>N</v>
          </cell>
          <cell r="AT70" t="str">
            <v>N</v>
          </cell>
          <cell r="AU70" t="str">
            <v>N</v>
          </cell>
          <cell r="AV70" t="str">
            <v>N</v>
          </cell>
        </row>
        <row r="71">
          <cell r="AH71" t="str">
            <v>T2 LOS Pattern</v>
          </cell>
          <cell r="AI71">
            <v>1234567</v>
          </cell>
          <cell r="AJ71">
            <v>1234567</v>
          </cell>
          <cell r="AK71">
            <v>1234567</v>
          </cell>
          <cell r="AL71">
            <v>1234567</v>
          </cell>
          <cell r="AM71">
            <v>1234567</v>
          </cell>
          <cell r="AN71">
            <v>1234567</v>
          </cell>
          <cell r="AO71">
            <v>1234567</v>
          </cell>
          <cell r="AP71">
            <v>1234567</v>
          </cell>
          <cell r="AQ71">
            <v>1234567</v>
          </cell>
          <cell r="AR71">
            <v>1234567</v>
          </cell>
          <cell r="AS71">
            <v>1234567</v>
          </cell>
          <cell r="AT71">
            <v>1234567</v>
          </cell>
          <cell r="AU71">
            <v>1234567</v>
          </cell>
          <cell r="AV71">
            <v>1234567</v>
          </cell>
        </row>
        <row r="72">
          <cell r="AH72" t="str">
            <v>T2 Min LOS</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row>
        <row r="73">
          <cell r="AH73" t="str">
            <v>T2 Max LOS</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row>
        <row r="74">
          <cell r="AH74" t="str">
            <v>T2E Total Rooms</v>
          </cell>
          <cell r="AI74">
            <v>8</v>
          </cell>
          <cell r="AJ74">
            <v>8</v>
          </cell>
          <cell r="AK74">
            <v>8</v>
          </cell>
          <cell r="AL74">
            <v>8</v>
          </cell>
          <cell r="AM74">
            <v>8</v>
          </cell>
          <cell r="AN74">
            <v>8</v>
          </cell>
          <cell r="AO74">
            <v>8</v>
          </cell>
          <cell r="AP74">
            <v>8</v>
          </cell>
          <cell r="AQ74">
            <v>8</v>
          </cell>
          <cell r="AR74">
            <v>8</v>
          </cell>
          <cell r="AS74">
            <v>8</v>
          </cell>
          <cell r="AT74">
            <v>8</v>
          </cell>
          <cell r="AU74">
            <v>8</v>
          </cell>
          <cell r="AV74">
            <v>8</v>
          </cell>
        </row>
        <row r="75">
          <cell r="AH75" t="str">
            <v>T2E Available</v>
          </cell>
          <cell r="AI75">
            <v>8</v>
          </cell>
          <cell r="AJ75">
            <v>8</v>
          </cell>
          <cell r="AK75">
            <v>4</v>
          </cell>
          <cell r="AL75">
            <v>4</v>
          </cell>
          <cell r="AM75">
            <v>4</v>
          </cell>
          <cell r="AN75">
            <v>4</v>
          </cell>
          <cell r="AO75">
            <v>4</v>
          </cell>
          <cell r="AP75">
            <v>4</v>
          </cell>
          <cell r="AQ75">
            <v>8</v>
          </cell>
          <cell r="AR75">
            <v>8</v>
          </cell>
          <cell r="AS75">
            <v>8</v>
          </cell>
          <cell r="AT75">
            <v>7</v>
          </cell>
          <cell r="AU75">
            <v>7</v>
          </cell>
          <cell r="AV75">
            <v>8</v>
          </cell>
        </row>
        <row r="76">
          <cell r="AH76" t="str">
            <v>T2E Sold</v>
          </cell>
          <cell r="AI76">
            <v>0</v>
          </cell>
          <cell r="AJ76">
            <v>0</v>
          </cell>
          <cell r="AK76">
            <v>0</v>
          </cell>
          <cell r="AL76">
            <v>0</v>
          </cell>
          <cell r="AM76">
            <v>0</v>
          </cell>
          <cell r="AN76">
            <v>0</v>
          </cell>
          <cell r="AO76">
            <v>0</v>
          </cell>
          <cell r="AP76">
            <v>0</v>
          </cell>
          <cell r="AQ76">
            <v>0</v>
          </cell>
          <cell r="AR76">
            <v>0</v>
          </cell>
          <cell r="AS76">
            <v>0</v>
          </cell>
          <cell r="AT76">
            <v>1</v>
          </cell>
          <cell r="AU76">
            <v>1</v>
          </cell>
          <cell r="AV76">
            <v>0</v>
          </cell>
        </row>
        <row r="77">
          <cell r="AH77" t="str">
            <v>T2E Blocked</v>
          </cell>
          <cell r="AI77">
            <v>0</v>
          </cell>
          <cell r="AJ77">
            <v>0</v>
          </cell>
          <cell r="AK77">
            <v>4</v>
          </cell>
          <cell r="AL77">
            <v>4</v>
          </cell>
          <cell r="AM77">
            <v>4</v>
          </cell>
          <cell r="AN77">
            <v>4</v>
          </cell>
          <cell r="AO77">
            <v>4</v>
          </cell>
          <cell r="AP77">
            <v>4</v>
          </cell>
          <cell r="AQ77">
            <v>0</v>
          </cell>
          <cell r="AR77">
            <v>0</v>
          </cell>
          <cell r="AS77">
            <v>0</v>
          </cell>
          <cell r="AT77">
            <v>0</v>
          </cell>
          <cell r="AU77">
            <v>0</v>
          </cell>
          <cell r="AV77">
            <v>0</v>
          </cell>
        </row>
        <row r="78">
          <cell r="AH78" t="str">
            <v>T2E Manager Hold</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row>
        <row r="79">
          <cell r="AH79" t="str">
            <v>T2E Out Of Order</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row>
        <row r="80">
          <cell r="AH80" t="str">
            <v>T2E Overbooking</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row>
        <row r="81">
          <cell r="AH81" t="str">
            <v>T2E Closed</v>
          </cell>
          <cell r="AI81" t="str">
            <v>N</v>
          </cell>
          <cell r="AJ81" t="str">
            <v>N</v>
          </cell>
          <cell r="AK81" t="str">
            <v>N</v>
          </cell>
          <cell r="AL81" t="str">
            <v>N</v>
          </cell>
          <cell r="AM81" t="str">
            <v>N</v>
          </cell>
          <cell r="AN81" t="str">
            <v>N</v>
          </cell>
          <cell r="AO81" t="str">
            <v>N</v>
          </cell>
          <cell r="AP81" t="str">
            <v>N</v>
          </cell>
          <cell r="AQ81" t="str">
            <v>N</v>
          </cell>
          <cell r="AR81" t="str">
            <v>N</v>
          </cell>
          <cell r="AS81" t="str">
            <v>N</v>
          </cell>
          <cell r="AT81" t="str">
            <v>N</v>
          </cell>
          <cell r="AU81" t="str">
            <v>N</v>
          </cell>
          <cell r="AV81" t="str">
            <v>N</v>
          </cell>
        </row>
        <row r="82">
          <cell r="AH82" t="str">
            <v>T2E Closed To Arrival</v>
          </cell>
          <cell r="AI82" t="str">
            <v>N</v>
          </cell>
          <cell r="AJ82" t="str">
            <v>N</v>
          </cell>
          <cell r="AK82" t="str">
            <v>N</v>
          </cell>
          <cell r="AL82" t="str">
            <v>N</v>
          </cell>
          <cell r="AM82" t="str">
            <v>N</v>
          </cell>
          <cell r="AN82" t="str">
            <v>N</v>
          </cell>
          <cell r="AO82" t="str">
            <v>N</v>
          </cell>
          <cell r="AP82" t="str">
            <v>N</v>
          </cell>
          <cell r="AQ82" t="str">
            <v>N</v>
          </cell>
          <cell r="AR82" t="str">
            <v>N</v>
          </cell>
          <cell r="AS82" t="str">
            <v>N</v>
          </cell>
          <cell r="AT82" t="str">
            <v>N</v>
          </cell>
          <cell r="AU82" t="str">
            <v>N</v>
          </cell>
          <cell r="AV82" t="str">
            <v>N</v>
          </cell>
        </row>
        <row r="83">
          <cell r="AH83" t="str">
            <v>T2E LOS Pattern</v>
          </cell>
          <cell r="AI83">
            <v>1234567</v>
          </cell>
          <cell r="AJ83">
            <v>1234567</v>
          </cell>
          <cell r="AK83">
            <v>1234567</v>
          </cell>
          <cell r="AL83">
            <v>1234567</v>
          </cell>
          <cell r="AM83">
            <v>1234567</v>
          </cell>
          <cell r="AN83">
            <v>1234567</v>
          </cell>
          <cell r="AO83">
            <v>1234567</v>
          </cell>
          <cell r="AP83">
            <v>1234567</v>
          </cell>
          <cell r="AQ83">
            <v>1234567</v>
          </cell>
          <cell r="AR83">
            <v>1234567</v>
          </cell>
          <cell r="AS83">
            <v>1234567</v>
          </cell>
          <cell r="AT83">
            <v>1234567</v>
          </cell>
          <cell r="AU83">
            <v>1234567</v>
          </cell>
          <cell r="AV83">
            <v>1234567</v>
          </cell>
        </row>
        <row r="84">
          <cell r="AH84" t="str">
            <v>T2E Min LOS</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row>
        <row r="85">
          <cell r="AH85" t="str">
            <v>T2E Max LOS</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row>
        <row r="86">
          <cell r="AH86" t="str">
            <v>CRIB Authorized</v>
          </cell>
          <cell r="AI86">
            <v>8</v>
          </cell>
          <cell r="AJ86">
            <v>8</v>
          </cell>
          <cell r="AK86">
            <v>8</v>
          </cell>
          <cell r="AL86">
            <v>8</v>
          </cell>
          <cell r="AM86">
            <v>8</v>
          </cell>
          <cell r="AN86">
            <v>8</v>
          </cell>
          <cell r="AO86">
            <v>8</v>
          </cell>
          <cell r="AP86">
            <v>8</v>
          </cell>
          <cell r="AQ86">
            <v>8</v>
          </cell>
          <cell r="AR86">
            <v>8</v>
          </cell>
          <cell r="AS86">
            <v>8</v>
          </cell>
          <cell r="AT86">
            <v>8</v>
          </cell>
          <cell r="AU86">
            <v>8</v>
          </cell>
          <cell r="AV86">
            <v>8</v>
          </cell>
        </row>
        <row r="87">
          <cell r="AH87" t="str">
            <v>CRIB Available</v>
          </cell>
          <cell r="AI87">
            <v>8</v>
          </cell>
          <cell r="AJ87">
            <v>8</v>
          </cell>
          <cell r="AK87">
            <v>8</v>
          </cell>
          <cell r="AL87">
            <v>8</v>
          </cell>
          <cell r="AM87">
            <v>8</v>
          </cell>
          <cell r="AN87">
            <v>8</v>
          </cell>
          <cell r="AO87">
            <v>8</v>
          </cell>
          <cell r="AP87">
            <v>8</v>
          </cell>
          <cell r="AQ87">
            <v>8</v>
          </cell>
          <cell r="AR87">
            <v>8</v>
          </cell>
          <cell r="AS87">
            <v>8</v>
          </cell>
          <cell r="AT87">
            <v>8</v>
          </cell>
          <cell r="AU87">
            <v>8</v>
          </cell>
          <cell r="AV87">
            <v>8</v>
          </cell>
        </row>
        <row r="88">
          <cell r="AH88" t="str">
            <v>CRIB Sold</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row>
        <row r="89">
          <cell r="AH89" t="str">
            <v>CRIB Closed</v>
          </cell>
          <cell r="AI89" t="str">
            <v>N</v>
          </cell>
          <cell r="AJ89" t="str">
            <v>N</v>
          </cell>
          <cell r="AK89" t="str">
            <v>N</v>
          </cell>
          <cell r="AL89" t="str">
            <v>N</v>
          </cell>
          <cell r="AM89" t="str">
            <v>N</v>
          </cell>
          <cell r="AN89" t="str">
            <v>N</v>
          </cell>
          <cell r="AO89" t="str">
            <v>N</v>
          </cell>
          <cell r="AP89" t="str">
            <v>N</v>
          </cell>
          <cell r="AQ89" t="str">
            <v>N</v>
          </cell>
          <cell r="AR89" t="str">
            <v>N</v>
          </cell>
          <cell r="AS89" t="str">
            <v>N</v>
          </cell>
          <cell r="AT89" t="str">
            <v>N</v>
          </cell>
          <cell r="AU89" t="str">
            <v>N</v>
          </cell>
          <cell r="AV89" t="str">
            <v>N</v>
          </cell>
        </row>
        <row r="90">
          <cell r="AH90" t="str">
            <v>NS Authorized</v>
          </cell>
          <cell r="AI90">
            <v>290</v>
          </cell>
          <cell r="AJ90">
            <v>290</v>
          </cell>
          <cell r="AK90">
            <v>290</v>
          </cell>
          <cell r="AL90">
            <v>290</v>
          </cell>
          <cell r="AM90">
            <v>290</v>
          </cell>
          <cell r="AN90">
            <v>290</v>
          </cell>
          <cell r="AO90">
            <v>290</v>
          </cell>
          <cell r="AP90">
            <v>290</v>
          </cell>
          <cell r="AQ90">
            <v>290</v>
          </cell>
          <cell r="AR90">
            <v>290</v>
          </cell>
          <cell r="AS90">
            <v>290</v>
          </cell>
          <cell r="AT90">
            <v>290</v>
          </cell>
          <cell r="AU90">
            <v>290</v>
          </cell>
          <cell r="AV90">
            <v>290</v>
          </cell>
        </row>
        <row r="91">
          <cell r="AH91" t="str">
            <v>NS Available</v>
          </cell>
          <cell r="AI91">
            <v>284</v>
          </cell>
          <cell r="AJ91">
            <v>283</v>
          </cell>
          <cell r="AK91">
            <v>274</v>
          </cell>
          <cell r="AL91">
            <v>266</v>
          </cell>
          <cell r="AM91">
            <v>257</v>
          </cell>
          <cell r="AN91">
            <v>251</v>
          </cell>
          <cell r="AO91">
            <v>253</v>
          </cell>
          <cell r="AP91">
            <v>254</v>
          </cell>
          <cell r="AQ91">
            <v>255</v>
          </cell>
          <cell r="AR91">
            <v>261</v>
          </cell>
          <cell r="AS91">
            <v>270</v>
          </cell>
          <cell r="AT91">
            <v>267</v>
          </cell>
          <cell r="AU91">
            <v>271</v>
          </cell>
          <cell r="AV91">
            <v>273</v>
          </cell>
        </row>
        <row r="92">
          <cell r="AH92" t="str">
            <v>NS Sold</v>
          </cell>
          <cell r="AI92">
            <v>6</v>
          </cell>
          <cell r="AJ92">
            <v>7</v>
          </cell>
          <cell r="AK92">
            <v>16</v>
          </cell>
          <cell r="AL92">
            <v>24</v>
          </cell>
          <cell r="AM92">
            <v>33</v>
          </cell>
          <cell r="AN92">
            <v>39</v>
          </cell>
          <cell r="AO92">
            <v>37</v>
          </cell>
          <cell r="AP92">
            <v>36</v>
          </cell>
          <cell r="AQ92">
            <v>35</v>
          </cell>
          <cell r="AR92">
            <v>29</v>
          </cell>
          <cell r="AS92">
            <v>20</v>
          </cell>
          <cell r="AT92">
            <v>23</v>
          </cell>
          <cell r="AU92">
            <v>19</v>
          </cell>
          <cell r="AV92">
            <v>17</v>
          </cell>
        </row>
        <row r="93">
          <cell r="AH93" t="str">
            <v>NS Closed</v>
          </cell>
          <cell r="AI93" t="str">
            <v>N</v>
          </cell>
          <cell r="AJ93" t="str">
            <v>N</v>
          </cell>
          <cell r="AK93" t="str">
            <v>N</v>
          </cell>
          <cell r="AL93" t="str">
            <v>N</v>
          </cell>
          <cell r="AM93" t="str">
            <v>N</v>
          </cell>
          <cell r="AN93" t="str">
            <v>N</v>
          </cell>
          <cell r="AO93" t="str">
            <v>N</v>
          </cell>
          <cell r="AP93" t="str">
            <v>N</v>
          </cell>
          <cell r="AQ93" t="str">
            <v>N</v>
          </cell>
          <cell r="AR93" t="str">
            <v>N</v>
          </cell>
          <cell r="AS93" t="str">
            <v>N</v>
          </cell>
          <cell r="AT93" t="str">
            <v>N</v>
          </cell>
          <cell r="AU93" t="str">
            <v>N</v>
          </cell>
          <cell r="AV93" t="str">
            <v>N</v>
          </cell>
        </row>
        <row r="94">
          <cell r="AH94" t="str">
            <v>RLWY Authorized</v>
          </cell>
          <cell r="AI94">
            <v>16</v>
          </cell>
          <cell r="AJ94">
            <v>16</v>
          </cell>
          <cell r="AK94">
            <v>16</v>
          </cell>
          <cell r="AL94">
            <v>16</v>
          </cell>
          <cell r="AM94">
            <v>16</v>
          </cell>
          <cell r="AN94">
            <v>16</v>
          </cell>
          <cell r="AO94">
            <v>16</v>
          </cell>
          <cell r="AP94">
            <v>16</v>
          </cell>
          <cell r="AQ94">
            <v>16</v>
          </cell>
          <cell r="AR94">
            <v>16</v>
          </cell>
          <cell r="AS94">
            <v>16</v>
          </cell>
          <cell r="AT94">
            <v>16</v>
          </cell>
          <cell r="AU94">
            <v>16</v>
          </cell>
          <cell r="AV94">
            <v>16</v>
          </cell>
        </row>
        <row r="95">
          <cell r="AH95" t="str">
            <v>RLWY Available</v>
          </cell>
          <cell r="AI95">
            <v>16</v>
          </cell>
          <cell r="AJ95">
            <v>16</v>
          </cell>
          <cell r="AK95">
            <v>16</v>
          </cell>
          <cell r="AL95">
            <v>16</v>
          </cell>
          <cell r="AM95">
            <v>16</v>
          </cell>
          <cell r="AN95">
            <v>16</v>
          </cell>
          <cell r="AO95">
            <v>16</v>
          </cell>
          <cell r="AP95">
            <v>16</v>
          </cell>
          <cell r="AQ95">
            <v>16</v>
          </cell>
          <cell r="AR95">
            <v>16</v>
          </cell>
          <cell r="AS95">
            <v>16</v>
          </cell>
          <cell r="AT95">
            <v>16</v>
          </cell>
          <cell r="AU95">
            <v>16</v>
          </cell>
          <cell r="AV95">
            <v>16</v>
          </cell>
        </row>
        <row r="96">
          <cell r="AH96" t="str">
            <v>RLWY Sold</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row>
        <row r="97">
          <cell r="AH97" t="str">
            <v>RLWY Closed</v>
          </cell>
          <cell r="AI97" t="str">
            <v>N</v>
          </cell>
          <cell r="AJ97" t="str">
            <v>N</v>
          </cell>
          <cell r="AK97" t="str">
            <v>N</v>
          </cell>
          <cell r="AL97" t="str">
            <v>N</v>
          </cell>
          <cell r="AM97" t="str">
            <v>N</v>
          </cell>
          <cell r="AN97" t="str">
            <v>N</v>
          </cell>
          <cell r="AO97" t="str">
            <v>N</v>
          </cell>
          <cell r="AP97" t="str">
            <v>N</v>
          </cell>
          <cell r="AQ97" t="str">
            <v>N</v>
          </cell>
          <cell r="AR97" t="str">
            <v>N</v>
          </cell>
          <cell r="AS97" t="str">
            <v>N</v>
          </cell>
          <cell r="AT97" t="str">
            <v>N</v>
          </cell>
          <cell r="AU97" t="str">
            <v>N</v>
          </cell>
          <cell r="AV97" t="str">
            <v>N</v>
          </cell>
        </row>
      </sheetData>
      <sheetData sheetId="7"/>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www.oanda.com/currency/converter/"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tabColor rgb="FF0070C0"/>
  </sheetPr>
  <dimension ref="A1:L35"/>
  <sheetViews>
    <sheetView workbookViewId="0">
      <selection activeCell="D31" sqref="D31"/>
    </sheetView>
  </sheetViews>
  <sheetFormatPr defaultRowHeight="14.25"/>
  <cols>
    <col min="1" max="1" width="27.125" customWidth="1"/>
    <col min="2" max="2" width="15.75" style="1" customWidth="1"/>
    <col min="3" max="3" width="11.25" style="1" customWidth="1"/>
    <col min="4" max="4" width="17.625" customWidth="1"/>
    <col min="6" max="6" width="4" customWidth="1"/>
    <col min="7" max="7" width="15.375" customWidth="1"/>
    <col min="8" max="8" width="34.875" customWidth="1"/>
    <col min="9" max="9" width="32.625" customWidth="1"/>
    <col min="10" max="10" width="12" customWidth="1"/>
  </cols>
  <sheetData>
    <row r="1" spans="1:12" ht="26.25" thickBot="1">
      <c r="H1" s="11" t="s">
        <v>18</v>
      </c>
      <c r="I1" s="12"/>
    </row>
    <row r="2" spans="1:12" ht="15.75" thickBot="1">
      <c r="A2" s="4" t="s">
        <v>16</v>
      </c>
      <c r="B2" s="88" t="s">
        <v>41</v>
      </c>
      <c r="C2" s="89"/>
      <c r="D2" s="90"/>
      <c r="F2" s="4" t="s">
        <v>17</v>
      </c>
      <c r="G2" s="46">
        <f ca="1">NOW()</f>
        <v>45833.548857754628</v>
      </c>
    </row>
    <row r="3" spans="1:12">
      <c r="H3" s="13" t="s">
        <v>19</v>
      </c>
      <c r="I3" s="38" t="str">
        <f>+B2</f>
        <v>Park West Gallery/ Cruise Group/ ROYAL PRINCESS</v>
      </c>
    </row>
    <row r="4" spans="1:12">
      <c r="A4" s="4" t="s">
        <v>0</v>
      </c>
      <c r="B4" s="5">
        <v>1.1133900000000001</v>
      </c>
      <c r="D4" s="10" t="s">
        <v>10</v>
      </c>
      <c r="E4" s="9"/>
      <c r="F4" s="4" t="s">
        <v>11</v>
      </c>
      <c r="G4" s="47" t="s">
        <v>36</v>
      </c>
      <c r="H4" s="14" t="s">
        <v>20</v>
      </c>
      <c r="I4" s="39"/>
    </row>
    <row r="5" spans="1:12">
      <c r="H5" s="14" t="s">
        <v>21</v>
      </c>
      <c r="I5" s="39">
        <v>17515</v>
      </c>
    </row>
    <row r="6" spans="1:12" ht="15" thickBot="1">
      <c r="A6" t="s">
        <v>1</v>
      </c>
      <c r="B6" s="1" t="s">
        <v>2</v>
      </c>
      <c r="C6" s="1" t="s">
        <v>3</v>
      </c>
      <c r="D6" s="1" t="s">
        <v>4</v>
      </c>
      <c r="H6" s="14" t="s">
        <v>22</v>
      </c>
      <c r="I6" s="39" t="s">
        <v>42</v>
      </c>
    </row>
    <row r="7" spans="1:12" ht="15" thickBot="1">
      <c r="A7" s="4" t="s">
        <v>5</v>
      </c>
      <c r="B7" s="50">
        <v>11190</v>
      </c>
      <c r="C7" s="6">
        <f>+B7/(1+B15)</f>
        <v>10172.727272727272</v>
      </c>
      <c r="D7" s="7">
        <f>+C7*$B$4</f>
        <v>11326.212818181819</v>
      </c>
      <c r="H7" s="15" t="s">
        <v>23</v>
      </c>
      <c r="I7" s="40">
        <v>905824992</v>
      </c>
    </row>
    <row r="8" spans="1:12" ht="15" thickBot="1">
      <c r="A8" s="4" t="s">
        <v>6</v>
      </c>
      <c r="B8" s="50">
        <v>0</v>
      </c>
      <c r="C8" s="6">
        <f>+B8/(1+B16)</f>
        <v>0</v>
      </c>
      <c r="D8" s="7">
        <f>+C8*$B$4</f>
        <v>0</v>
      </c>
      <c r="H8" s="14" t="s">
        <v>24</v>
      </c>
      <c r="I8" s="39"/>
    </row>
    <row r="9" spans="1:12" ht="15" thickBot="1">
      <c r="A9" s="4" t="s">
        <v>7</v>
      </c>
      <c r="B9" s="50">
        <v>125</v>
      </c>
      <c r="C9" s="6">
        <f>+B9/(1+$B$17)</f>
        <v>103.30578512396694</v>
      </c>
      <c r="D9" s="7">
        <f>+C9*$B$4</f>
        <v>115.01962809917356</v>
      </c>
      <c r="H9" s="16" t="s">
        <v>25</v>
      </c>
      <c r="I9" s="41"/>
    </row>
    <row r="10" spans="1:12" ht="15" thickBot="1">
      <c r="A10" s="4" t="s">
        <v>8</v>
      </c>
      <c r="B10" s="50">
        <v>0</v>
      </c>
      <c r="C10" s="6">
        <f>+B10/(1+B18)</f>
        <v>0</v>
      </c>
      <c r="D10" s="7">
        <f>+C10*$B$4</f>
        <v>0</v>
      </c>
    </row>
    <row r="11" spans="1:12" ht="15" thickBot="1">
      <c r="A11" s="4" t="s">
        <v>44</v>
      </c>
      <c r="B11" s="50">
        <v>125</v>
      </c>
      <c r="C11" s="6">
        <f>+B11/(1+$B$17)</f>
        <v>103.30578512396694</v>
      </c>
      <c r="D11" s="7">
        <f>+C11*$B$4</f>
        <v>115.01962809917356</v>
      </c>
      <c r="H11" s="17" t="s">
        <v>26</v>
      </c>
    </row>
    <row r="12" spans="1:12">
      <c r="A12" s="4" t="s">
        <v>9</v>
      </c>
      <c r="B12" s="6">
        <f>SUM(B7:B11)</f>
        <v>11440</v>
      </c>
      <c r="C12" s="6">
        <f>SUM(C7:C10)</f>
        <v>10276.033057851238</v>
      </c>
      <c r="D12" s="7">
        <f>SUM(D7:D11)</f>
        <v>11556.252074380165</v>
      </c>
      <c r="H12" s="18" t="s">
        <v>27</v>
      </c>
      <c r="I12" s="42">
        <f>+C12</f>
        <v>10276.033057851238</v>
      </c>
    </row>
    <row r="13" spans="1:12">
      <c r="H13" s="20" t="s">
        <v>28</v>
      </c>
      <c r="I13" s="21">
        <f>+D12</f>
        <v>11556.252074380165</v>
      </c>
    </row>
    <row r="14" spans="1:12">
      <c r="H14" s="22"/>
      <c r="I14" s="23"/>
    </row>
    <row r="15" spans="1:12" ht="15" thickBot="1">
      <c r="A15" s="4" t="s">
        <v>12</v>
      </c>
      <c r="B15" s="8">
        <v>0.1</v>
      </c>
      <c r="H15" s="24" t="s">
        <v>29</v>
      </c>
      <c r="I15" s="25">
        <f>I13*1.5</f>
        <v>17334.378111570248</v>
      </c>
      <c r="J15" s="54" t="s">
        <v>37</v>
      </c>
      <c r="L15" s="51">
        <v>100000</v>
      </c>
    </row>
    <row r="16" spans="1:12" ht="15" thickBot="1">
      <c r="A16" s="4" t="s">
        <v>13</v>
      </c>
      <c r="B16" s="8">
        <v>0.21</v>
      </c>
      <c r="H16" s="26" t="s">
        <v>30</v>
      </c>
      <c r="I16" s="27">
        <f>I15*0.005</f>
        <v>86.671890557851242</v>
      </c>
      <c r="J16" s="28">
        <f>+I16/B4</f>
        <v>77.845041322314046</v>
      </c>
      <c r="L16" s="52">
        <f>+L15*0.005</f>
        <v>500</v>
      </c>
    </row>
    <row r="17" spans="1:12">
      <c r="A17" s="4" t="s">
        <v>14</v>
      </c>
      <c r="B17" s="8">
        <v>0.21</v>
      </c>
    </row>
    <row r="18" spans="1:12" ht="15" thickBot="1">
      <c r="A18" s="4" t="s">
        <v>15</v>
      </c>
      <c r="B18" s="8">
        <v>0.1</v>
      </c>
    </row>
    <row r="19" spans="1:12" ht="15" thickBot="1">
      <c r="H19" s="29" t="s">
        <v>31</v>
      </c>
    </row>
    <row r="20" spans="1:12" ht="15" thickBot="1">
      <c r="H20" s="30" t="s">
        <v>27</v>
      </c>
      <c r="I20" s="19">
        <v>0</v>
      </c>
    </row>
    <row r="21" spans="1:12" ht="15" thickBot="1">
      <c r="A21" s="4" t="s">
        <v>38</v>
      </c>
      <c r="B21" s="49">
        <v>49</v>
      </c>
      <c r="H21" s="31" t="s">
        <v>28</v>
      </c>
      <c r="I21" s="21">
        <f>+I20*B4</f>
        <v>0</v>
      </c>
    </row>
    <row r="22" spans="1:12" ht="15" thickBot="1">
      <c r="A22" s="4" t="s">
        <v>39</v>
      </c>
      <c r="B22" s="49">
        <v>55</v>
      </c>
      <c r="H22" s="2"/>
      <c r="I22" s="3"/>
    </row>
    <row r="23" spans="1:12" ht="15" thickBot="1">
      <c r="A23" s="4" t="s">
        <v>40</v>
      </c>
      <c r="B23" s="49">
        <v>0</v>
      </c>
      <c r="H23" s="32" t="s">
        <v>29</v>
      </c>
      <c r="I23" s="43">
        <f>I21*1</f>
        <v>0</v>
      </c>
    </row>
    <row r="24" spans="1:12" ht="15" thickBot="1">
      <c r="H24" s="33" t="s">
        <v>32</v>
      </c>
      <c r="I24" s="44">
        <f>I21*1</f>
        <v>0</v>
      </c>
    </row>
    <row r="25" spans="1:12" ht="15.75" thickBot="1">
      <c r="H25" s="34" t="s">
        <v>30</v>
      </c>
      <c r="I25" s="45">
        <f>I23*0.005</f>
        <v>0</v>
      </c>
      <c r="J25" s="28">
        <f>+I25/B4</f>
        <v>0</v>
      </c>
      <c r="L25" s="53">
        <f>+L16/B4</f>
        <v>449.07893909591422</v>
      </c>
    </row>
    <row r="26" spans="1:12" ht="16.5" hidden="1" customHeight="1">
      <c r="H26" s="35"/>
      <c r="I26" s="35"/>
    </row>
    <row r="27" spans="1:12" hidden="1"/>
    <row r="28" spans="1:12" hidden="1">
      <c r="H28" s="4"/>
      <c r="I28" s="36"/>
    </row>
    <row r="29" spans="1:12" hidden="1"/>
    <row r="30" spans="1:12" ht="15" thickBot="1"/>
    <row r="31" spans="1:12" ht="15" thickBot="1">
      <c r="H31" s="37" t="s">
        <v>33</v>
      </c>
      <c r="I31" s="95"/>
      <c r="J31" s="96"/>
    </row>
    <row r="32" spans="1:12" ht="15" thickBot="1">
      <c r="H32" s="48"/>
      <c r="I32" s="97"/>
      <c r="J32" s="98"/>
    </row>
    <row r="33" spans="8:10" ht="15.75" thickBot="1">
      <c r="H33" s="4" t="s">
        <v>34</v>
      </c>
      <c r="I33" s="46">
        <f ca="1">NOW()</f>
        <v>45833.548857754628</v>
      </c>
      <c r="J33" s="1"/>
    </row>
    <row r="34" spans="8:10">
      <c r="H34" s="4" t="s">
        <v>35</v>
      </c>
      <c r="I34" s="91" t="s">
        <v>43</v>
      </c>
      <c r="J34" s="92"/>
    </row>
    <row r="35" spans="8:10" ht="15" thickBot="1">
      <c r="I35" s="93"/>
      <c r="J35" s="94"/>
    </row>
  </sheetData>
  <sheetProtection password="C68F" sheet="1" objects="1" scenarios="1"/>
  <mergeCells count="3">
    <mergeCell ref="B2:D2"/>
    <mergeCell ref="I34:J35"/>
    <mergeCell ref="I31:J32"/>
  </mergeCells>
  <hyperlinks>
    <hyperlink ref="G4" r:id="rId1" xr:uid="{00000000-0004-0000-0700-000000000000}"/>
  </hyperlinks>
  <printOptions horizontalCentered="1" verticalCentered="1"/>
  <pageMargins left="0.70866141732283472" right="0.70866141732283472" top="0.74803149606299213" bottom="0.74803149606299213" header="0.31496062992125984" footer="0.31496062992125984"/>
  <pageSetup paperSize="9"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7">
    <pageSetUpPr fitToPage="1"/>
  </sheetPr>
  <dimension ref="A1:V221"/>
  <sheetViews>
    <sheetView tabSelected="1" topLeftCell="H33" workbookViewId="0">
      <selection sqref="A1:J1"/>
    </sheetView>
  </sheetViews>
  <sheetFormatPr defaultRowHeight="14.25"/>
  <cols>
    <col min="1" max="1" width="26.75" hidden="1" customWidth="1"/>
    <col min="2" max="2" width="9" hidden="1" customWidth="1"/>
    <col min="3" max="6" width="0" hidden="1" customWidth="1"/>
    <col min="7" max="7" width="15.25" hidden="1" customWidth="1"/>
    <col min="8" max="8" width="13.125" customWidth="1"/>
    <col min="9" max="9" width="16.625" customWidth="1"/>
    <col min="10" max="10" width="8.875" customWidth="1"/>
    <col min="11" max="11" width="11" customWidth="1"/>
    <col min="12" max="12" width="9.875" bestFit="1" customWidth="1"/>
    <col min="13" max="13" width="10.5" customWidth="1"/>
    <col min="14" max="14" width="10.25" customWidth="1"/>
    <col min="15" max="15" width="9.875" customWidth="1"/>
    <col min="16" max="16" width="10" hidden="1" customWidth="1"/>
    <col min="17" max="17" width="8.375" hidden="1" customWidth="1"/>
    <col min="18" max="18" width="41.75" customWidth="1"/>
  </cols>
  <sheetData>
    <row r="1" spans="1:22" s="1" customFormat="1" ht="16.5" thickBot="1">
      <c r="A1" s="99"/>
      <c r="B1" s="99"/>
      <c r="C1" s="99"/>
      <c r="D1" s="99"/>
      <c r="E1" s="99"/>
      <c r="F1" s="99"/>
      <c r="G1" s="99"/>
      <c r="H1" s="99"/>
      <c r="I1" s="99"/>
      <c r="J1" s="99"/>
      <c r="K1" s="55" t="s">
        <v>45</v>
      </c>
      <c r="L1" s="56">
        <f>SUM(L4:L65457)</f>
        <v>45865</v>
      </c>
      <c r="M1" s="56">
        <f>SUM(M4:M65457)</f>
        <v>46040</v>
      </c>
      <c r="N1" s="56">
        <f>SUM(N4:N65457)</f>
        <v>45852</v>
      </c>
      <c r="O1" s="56">
        <f>SUM(O4:O65457)</f>
        <v>45844</v>
      </c>
      <c r="P1" s="56">
        <f>SUM(P4:P65457)</f>
        <v>154</v>
      </c>
      <c r="Q1"/>
    </row>
    <row r="2" spans="1:22" ht="15.75" thickBot="1">
      <c r="A2" s="100" t="s">
        <v>46</v>
      </c>
      <c r="B2" s="101"/>
      <c r="C2" s="101"/>
      <c r="D2" s="101"/>
      <c r="E2" s="101"/>
      <c r="F2" s="101"/>
      <c r="G2" s="101"/>
      <c r="H2" s="101"/>
      <c r="I2" s="101"/>
      <c r="J2" s="101"/>
      <c r="K2" s="102"/>
      <c r="L2" s="73">
        <f>MIN(J:J)</f>
        <v>45841</v>
      </c>
      <c r="M2" s="64"/>
      <c r="N2" s="64"/>
      <c r="O2" s="71"/>
      <c r="P2" s="72">
        <f>MAX(K:K)</f>
        <v>45844</v>
      </c>
    </row>
    <row r="3" spans="1:22">
      <c r="A3" s="58"/>
      <c r="B3" s="58"/>
      <c r="C3" s="58"/>
      <c r="D3" s="58"/>
      <c r="E3" s="58"/>
      <c r="F3" s="58"/>
      <c r="G3" s="58"/>
      <c r="H3" s="58" t="s">
        <v>53</v>
      </c>
      <c r="I3" s="58" t="s">
        <v>54</v>
      </c>
      <c r="J3" s="58" t="s">
        <v>47</v>
      </c>
      <c r="K3" s="58" t="s">
        <v>48</v>
      </c>
      <c r="L3" s="57">
        <v>45841</v>
      </c>
      <c r="M3" s="59">
        <f>IFERROR(IF(L3=$P$2,"",IF(L3&lt;&gt;$P$2,L3+1,$P$2)),"")</f>
        <v>45842</v>
      </c>
      <c r="N3" s="59">
        <f>IFERROR(IF(M3=$P$2,"",IF(M3&lt;&gt;$P$2,M3+1,$P$2)),"")</f>
        <v>45843</v>
      </c>
      <c r="O3" s="59">
        <f>IFERROR(IF(N3=$P$2,"",IF(N3&lt;&gt;$P$2,N3+1,$P$2)),"")</f>
        <v>45844</v>
      </c>
      <c r="P3" s="59" t="str">
        <f>IFERROR(IF(#REF!=$P$2,"",IF(#REF!&lt;&gt;$P$2,#REF!+1,$P$2)),"")</f>
        <v/>
      </c>
      <c r="Q3" s="69" t="s">
        <v>49</v>
      </c>
      <c r="R3" s="61" t="s">
        <v>55</v>
      </c>
    </row>
    <row r="4" spans="1:22" ht="47.25">
      <c r="G4" s="68" t="s">
        <v>52</v>
      </c>
      <c r="H4" s="65" t="s">
        <v>59</v>
      </c>
      <c r="I4" s="65" t="s">
        <v>60</v>
      </c>
      <c r="J4" s="103">
        <v>45842</v>
      </c>
      <c r="K4" s="103">
        <v>45843</v>
      </c>
      <c r="L4" s="60">
        <f t="shared" ref="L4:O67" si="0">IF(L$3="","",IF(AND(L$3&lt;$K4,L$3&gt;=$J4),1,0))</f>
        <v>0</v>
      </c>
      <c r="M4" s="60">
        <f t="shared" si="0"/>
        <v>1</v>
      </c>
      <c r="N4" s="60">
        <f t="shared" si="0"/>
        <v>0</v>
      </c>
      <c r="O4" s="60">
        <f t="shared" si="0"/>
        <v>0</v>
      </c>
      <c r="P4" s="60" t="str">
        <f t="shared" ref="P4:P74" si="1">IF(P$3="","",IF(AND(P$3&lt;$K4,P$3&gt;=$J4),1,0))</f>
        <v/>
      </c>
      <c r="Q4" s="63"/>
      <c r="R4" s="106" t="s">
        <v>186</v>
      </c>
    </row>
    <row r="5" spans="1:22" ht="47.25">
      <c r="G5" s="68" t="s">
        <v>52</v>
      </c>
      <c r="H5" s="65" t="s">
        <v>61</v>
      </c>
      <c r="I5" s="65" t="s">
        <v>62</v>
      </c>
      <c r="J5" s="103">
        <v>45842</v>
      </c>
      <c r="K5" s="103">
        <v>45843</v>
      </c>
      <c r="L5" s="60">
        <f t="shared" si="0"/>
        <v>0</v>
      </c>
      <c r="M5" s="60">
        <f t="shared" si="0"/>
        <v>1</v>
      </c>
      <c r="N5" s="60">
        <f t="shared" si="0"/>
        <v>0</v>
      </c>
      <c r="O5" s="60">
        <f t="shared" si="0"/>
        <v>0</v>
      </c>
      <c r="P5" s="60" t="str">
        <f t="shared" si="1"/>
        <v/>
      </c>
      <c r="Q5" s="63"/>
      <c r="R5" s="106" t="s">
        <v>186</v>
      </c>
    </row>
    <row r="6" spans="1:22" ht="47.25">
      <c r="G6" s="68" t="s">
        <v>52</v>
      </c>
      <c r="H6" s="111" t="s">
        <v>63</v>
      </c>
      <c r="I6" s="111" t="s">
        <v>64</v>
      </c>
      <c r="J6" s="103">
        <v>45842</v>
      </c>
      <c r="K6" s="103">
        <v>45843</v>
      </c>
      <c r="L6" s="60">
        <f t="shared" si="0"/>
        <v>0</v>
      </c>
      <c r="M6" s="60">
        <f t="shared" si="0"/>
        <v>1</v>
      </c>
      <c r="N6" s="60">
        <f t="shared" si="0"/>
        <v>0</v>
      </c>
      <c r="O6" s="60">
        <f t="shared" si="0"/>
        <v>0</v>
      </c>
      <c r="P6" s="60" t="str">
        <f t="shared" si="1"/>
        <v/>
      </c>
      <c r="Q6" s="63"/>
      <c r="R6" s="113" t="s">
        <v>187</v>
      </c>
    </row>
    <row r="7" spans="1:22" ht="47.25">
      <c r="G7" s="68" t="s">
        <v>52</v>
      </c>
      <c r="H7" s="65" t="s">
        <v>65</v>
      </c>
      <c r="I7" s="65" t="s">
        <v>66</v>
      </c>
      <c r="J7" s="103">
        <v>45842</v>
      </c>
      <c r="K7" s="103">
        <v>45843</v>
      </c>
      <c r="L7" s="60">
        <f t="shared" si="0"/>
        <v>0</v>
      </c>
      <c r="M7" s="60">
        <f t="shared" si="0"/>
        <v>1</v>
      </c>
      <c r="N7" s="60">
        <f t="shared" si="0"/>
        <v>0</v>
      </c>
      <c r="O7" s="60">
        <f t="shared" si="0"/>
        <v>0</v>
      </c>
      <c r="P7" s="60" t="str">
        <f t="shared" si="1"/>
        <v/>
      </c>
      <c r="Q7" s="63"/>
      <c r="R7" s="106" t="s">
        <v>186</v>
      </c>
    </row>
    <row r="8" spans="1:22" ht="47.25">
      <c r="G8" s="68" t="s">
        <v>52</v>
      </c>
      <c r="H8" s="65" t="s">
        <v>67</v>
      </c>
      <c r="I8" s="65" t="s">
        <v>68</v>
      </c>
      <c r="J8" s="103">
        <v>45842</v>
      </c>
      <c r="K8" s="103">
        <v>45843</v>
      </c>
      <c r="L8" s="60">
        <f t="shared" si="0"/>
        <v>0</v>
      </c>
      <c r="M8" s="60">
        <f t="shared" si="0"/>
        <v>1</v>
      </c>
      <c r="N8" s="60">
        <f t="shared" si="0"/>
        <v>0</v>
      </c>
      <c r="O8" s="60">
        <f t="shared" si="0"/>
        <v>0</v>
      </c>
      <c r="P8" s="60" t="str">
        <f t="shared" si="1"/>
        <v/>
      </c>
      <c r="Q8" s="63"/>
      <c r="R8" s="114" t="s">
        <v>186</v>
      </c>
      <c r="V8" t="s">
        <v>194</v>
      </c>
    </row>
    <row r="9" spans="1:22" ht="47.25">
      <c r="G9" s="68" t="s">
        <v>52</v>
      </c>
      <c r="H9" s="111" t="s">
        <v>69</v>
      </c>
      <c r="I9" s="111" t="s">
        <v>68</v>
      </c>
      <c r="J9" s="103">
        <v>45842</v>
      </c>
      <c r="K9" s="103">
        <v>45843</v>
      </c>
      <c r="L9" s="60">
        <f t="shared" si="0"/>
        <v>0</v>
      </c>
      <c r="M9" s="60">
        <f t="shared" si="0"/>
        <v>1</v>
      </c>
      <c r="N9" s="60">
        <f t="shared" si="0"/>
        <v>0</v>
      </c>
      <c r="O9" s="60">
        <f t="shared" si="0"/>
        <v>0</v>
      </c>
      <c r="P9" s="60" t="str">
        <f t="shared" si="1"/>
        <v/>
      </c>
      <c r="Q9" s="63"/>
      <c r="R9" s="113" t="s">
        <v>187</v>
      </c>
    </row>
    <row r="10" spans="1:22" ht="47.25">
      <c r="G10" s="68" t="s">
        <v>52</v>
      </c>
      <c r="H10" s="65" t="s">
        <v>70</v>
      </c>
      <c r="I10" s="65" t="s">
        <v>71</v>
      </c>
      <c r="J10" s="103">
        <v>45842</v>
      </c>
      <c r="K10" s="103">
        <v>45843</v>
      </c>
      <c r="L10" s="60">
        <f t="shared" si="0"/>
        <v>0</v>
      </c>
      <c r="M10" s="60">
        <f t="shared" si="0"/>
        <v>1</v>
      </c>
      <c r="N10" s="60">
        <f t="shared" si="0"/>
        <v>0</v>
      </c>
      <c r="O10" s="60">
        <f t="shared" si="0"/>
        <v>0</v>
      </c>
      <c r="P10" s="60" t="str">
        <f t="shared" si="1"/>
        <v/>
      </c>
      <c r="Q10" s="63"/>
      <c r="R10" s="114" t="s">
        <v>186</v>
      </c>
    </row>
    <row r="11" spans="1:22" ht="47.25">
      <c r="G11" s="68"/>
      <c r="H11" s="111" t="s">
        <v>72</v>
      </c>
      <c r="I11" s="111" t="s">
        <v>73</v>
      </c>
      <c r="J11" s="103">
        <v>45842</v>
      </c>
      <c r="K11" s="103">
        <v>45843</v>
      </c>
      <c r="L11" s="60">
        <f t="shared" si="0"/>
        <v>0</v>
      </c>
      <c r="M11" s="60">
        <f t="shared" si="0"/>
        <v>1</v>
      </c>
      <c r="N11" s="60">
        <f t="shared" si="0"/>
        <v>0</v>
      </c>
      <c r="O11" s="60">
        <f t="shared" si="0"/>
        <v>0</v>
      </c>
      <c r="P11" s="60"/>
      <c r="Q11" s="63"/>
      <c r="R11" s="113" t="s">
        <v>187</v>
      </c>
    </row>
    <row r="12" spans="1:22" ht="47.25">
      <c r="G12" s="68"/>
      <c r="H12" s="65" t="s">
        <v>74</v>
      </c>
      <c r="I12" s="65" t="s">
        <v>75</v>
      </c>
      <c r="J12" s="103">
        <v>45842</v>
      </c>
      <c r="K12" s="103">
        <v>45843</v>
      </c>
      <c r="L12" s="60">
        <f t="shared" si="0"/>
        <v>0</v>
      </c>
      <c r="M12" s="60">
        <f t="shared" si="0"/>
        <v>1</v>
      </c>
      <c r="N12" s="60">
        <f t="shared" si="0"/>
        <v>0</v>
      </c>
      <c r="O12" s="60">
        <f t="shared" si="0"/>
        <v>0</v>
      </c>
      <c r="P12" s="60"/>
      <c r="Q12" s="63"/>
      <c r="R12" s="106" t="s">
        <v>186</v>
      </c>
    </row>
    <row r="13" spans="1:22" ht="47.25">
      <c r="G13" s="68"/>
      <c r="H13" s="65" t="s">
        <v>76</v>
      </c>
      <c r="I13" s="65" t="s">
        <v>77</v>
      </c>
      <c r="J13" s="103">
        <v>45842</v>
      </c>
      <c r="K13" s="103">
        <v>45843</v>
      </c>
      <c r="L13" s="60">
        <f t="shared" si="0"/>
        <v>0</v>
      </c>
      <c r="M13" s="60">
        <f t="shared" si="0"/>
        <v>1</v>
      </c>
      <c r="N13" s="60">
        <f t="shared" si="0"/>
        <v>0</v>
      </c>
      <c r="O13" s="60">
        <f t="shared" si="0"/>
        <v>0</v>
      </c>
      <c r="P13" s="60"/>
      <c r="Q13" s="63"/>
      <c r="R13" s="106" t="s">
        <v>186</v>
      </c>
    </row>
    <row r="14" spans="1:22" ht="15.75">
      <c r="G14" s="68"/>
      <c r="H14" s="116" t="s">
        <v>78</v>
      </c>
      <c r="I14" s="116" t="s">
        <v>79</v>
      </c>
      <c r="J14" s="117">
        <v>45841</v>
      </c>
      <c r="K14" s="117">
        <v>45843</v>
      </c>
      <c r="L14" s="118">
        <f t="shared" si="0"/>
        <v>1</v>
      </c>
      <c r="M14" s="118">
        <f t="shared" si="0"/>
        <v>1</v>
      </c>
      <c r="N14" s="118">
        <f t="shared" si="0"/>
        <v>0</v>
      </c>
      <c r="O14" s="118">
        <f t="shared" si="0"/>
        <v>0</v>
      </c>
      <c r="P14" s="118"/>
      <c r="Q14" s="119"/>
      <c r="R14" s="120" t="s">
        <v>188</v>
      </c>
    </row>
    <row r="15" spans="1:22" ht="47.25">
      <c r="G15" s="68"/>
      <c r="H15" s="65" t="s">
        <v>80</v>
      </c>
      <c r="I15" s="65" t="s">
        <v>81</v>
      </c>
      <c r="J15" s="103">
        <v>45842</v>
      </c>
      <c r="K15" s="103">
        <v>45843</v>
      </c>
      <c r="L15" s="60">
        <f t="shared" si="0"/>
        <v>0</v>
      </c>
      <c r="M15" s="60">
        <f t="shared" si="0"/>
        <v>1</v>
      </c>
      <c r="N15" s="60">
        <f t="shared" si="0"/>
        <v>0</v>
      </c>
      <c r="O15" s="60">
        <f t="shared" si="0"/>
        <v>0</v>
      </c>
      <c r="P15" s="60"/>
      <c r="Q15" s="63"/>
      <c r="R15" s="106" t="s">
        <v>186</v>
      </c>
    </row>
    <row r="16" spans="1:22" ht="47.25">
      <c r="G16" s="68"/>
      <c r="H16" s="65" t="s">
        <v>82</v>
      </c>
      <c r="I16" s="65" t="s">
        <v>83</v>
      </c>
      <c r="J16" s="103">
        <v>45842</v>
      </c>
      <c r="K16" s="103">
        <v>45843</v>
      </c>
      <c r="L16" s="60">
        <f t="shared" si="0"/>
        <v>0</v>
      </c>
      <c r="M16" s="60">
        <f t="shared" si="0"/>
        <v>1</v>
      </c>
      <c r="N16" s="60">
        <f t="shared" si="0"/>
        <v>0</v>
      </c>
      <c r="O16" s="60">
        <f t="shared" si="0"/>
        <v>0</v>
      </c>
      <c r="P16" s="60"/>
      <c r="Q16" s="63"/>
      <c r="R16" s="106" t="s">
        <v>186</v>
      </c>
    </row>
    <row r="17" spans="7:18" ht="47.25">
      <c r="G17" s="68"/>
      <c r="H17" s="65" t="s">
        <v>84</v>
      </c>
      <c r="I17" s="65" t="s">
        <v>85</v>
      </c>
      <c r="J17" s="103">
        <v>45842</v>
      </c>
      <c r="K17" s="103">
        <v>45843</v>
      </c>
      <c r="L17" s="60">
        <f t="shared" si="0"/>
        <v>0</v>
      </c>
      <c r="M17" s="60">
        <f t="shared" si="0"/>
        <v>1</v>
      </c>
      <c r="N17" s="60">
        <f t="shared" si="0"/>
        <v>0</v>
      </c>
      <c r="O17" s="60">
        <f t="shared" si="0"/>
        <v>0</v>
      </c>
      <c r="P17" s="60"/>
      <c r="Q17" s="63"/>
      <c r="R17" s="106" t="s">
        <v>186</v>
      </c>
    </row>
    <row r="18" spans="7:18" ht="47.25">
      <c r="G18" s="68"/>
      <c r="H18" s="65" t="s">
        <v>86</v>
      </c>
      <c r="I18" s="65" t="s">
        <v>87</v>
      </c>
      <c r="J18" s="103">
        <v>45842</v>
      </c>
      <c r="K18" s="103">
        <v>45843</v>
      </c>
      <c r="L18" s="60">
        <f t="shared" si="0"/>
        <v>0</v>
      </c>
      <c r="M18" s="60">
        <f t="shared" si="0"/>
        <v>1</v>
      </c>
      <c r="N18" s="60">
        <f t="shared" si="0"/>
        <v>0</v>
      </c>
      <c r="O18" s="60">
        <f t="shared" si="0"/>
        <v>0</v>
      </c>
      <c r="P18" s="60"/>
      <c r="Q18" s="63"/>
      <c r="R18" s="114" t="s">
        <v>186</v>
      </c>
    </row>
    <row r="19" spans="7:18" ht="47.25">
      <c r="G19" s="68"/>
      <c r="H19" s="65" t="s">
        <v>88</v>
      </c>
      <c r="I19" s="65" t="s">
        <v>89</v>
      </c>
      <c r="J19" s="103">
        <v>45842</v>
      </c>
      <c r="K19" s="103">
        <v>45843</v>
      </c>
      <c r="L19" s="60">
        <f t="shared" si="0"/>
        <v>0</v>
      </c>
      <c r="M19" s="60">
        <f t="shared" si="0"/>
        <v>1</v>
      </c>
      <c r="N19" s="60">
        <f t="shared" si="0"/>
        <v>0</v>
      </c>
      <c r="O19" s="60">
        <f t="shared" si="0"/>
        <v>0</v>
      </c>
      <c r="P19" s="60"/>
      <c r="Q19" s="63"/>
      <c r="R19" s="106" t="s">
        <v>186</v>
      </c>
    </row>
    <row r="20" spans="7:18" ht="47.25">
      <c r="G20" s="68"/>
      <c r="H20" s="65" t="s">
        <v>90</v>
      </c>
      <c r="I20" s="65" t="s">
        <v>91</v>
      </c>
      <c r="J20" s="103">
        <v>45842</v>
      </c>
      <c r="K20" s="103">
        <v>45843</v>
      </c>
      <c r="L20" s="60">
        <f t="shared" si="0"/>
        <v>0</v>
      </c>
      <c r="M20" s="60">
        <f t="shared" si="0"/>
        <v>1</v>
      </c>
      <c r="N20" s="60">
        <f t="shared" si="0"/>
        <v>0</v>
      </c>
      <c r="O20" s="60">
        <f t="shared" si="0"/>
        <v>0</v>
      </c>
      <c r="P20" s="60"/>
      <c r="Q20" s="63"/>
      <c r="R20" s="106" t="s">
        <v>186</v>
      </c>
    </row>
    <row r="21" spans="7:18" ht="47.25">
      <c r="G21" s="68"/>
      <c r="H21" s="65" t="s">
        <v>92</v>
      </c>
      <c r="I21" s="65" t="s">
        <v>93</v>
      </c>
      <c r="J21" s="103">
        <v>45842</v>
      </c>
      <c r="K21" s="103">
        <v>45843</v>
      </c>
      <c r="L21" s="60">
        <f t="shared" si="0"/>
        <v>0</v>
      </c>
      <c r="M21" s="60">
        <f t="shared" si="0"/>
        <v>1</v>
      </c>
      <c r="N21" s="60">
        <f t="shared" si="0"/>
        <v>0</v>
      </c>
      <c r="O21" s="60">
        <f t="shared" si="0"/>
        <v>0</v>
      </c>
      <c r="P21" s="60"/>
      <c r="Q21" s="63"/>
      <c r="R21" s="106" t="s">
        <v>186</v>
      </c>
    </row>
    <row r="22" spans="7:18" ht="47.25">
      <c r="G22" s="68"/>
      <c r="H22" s="65" t="s">
        <v>94</v>
      </c>
      <c r="I22" s="65" t="s">
        <v>95</v>
      </c>
      <c r="J22" s="103">
        <v>45842</v>
      </c>
      <c r="K22" s="103">
        <v>45843</v>
      </c>
      <c r="L22" s="60">
        <f t="shared" si="0"/>
        <v>0</v>
      </c>
      <c r="M22" s="60">
        <f t="shared" si="0"/>
        <v>1</v>
      </c>
      <c r="N22" s="60">
        <f t="shared" si="0"/>
        <v>0</v>
      </c>
      <c r="O22" s="60">
        <f t="shared" si="0"/>
        <v>0</v>
      </c>
      <c r="P22" s="60"/>
      <c r="Q22" s="63"/>
      <c r="R22" s="114" t="s">
        <v>186</v>
      </c>
    </row>
    <row r="23" spans="7:18" ht="47.25">
      <c r="G23" s="68"/>
      <c r="H23" s="65" t="s">
        <v>96</v>
      </c>
      <c r="I23" s="65" t="s">
        <v>97</v>
      </c>
      <c r="J23" s="103">
        <v>45842</v>
      </c>
      <c r="K23" s="103">
        <v>45843</v>
      </c>
      <c r="L23" s="60">
        <f t="shared" si="0"/>
        <v>0</v>
      </c>
      <c r="M23" s="60">
        <f t="shared" si="0"/>
        <v>1</v>
      </c>
      <c r="N23" s="60">
        <f t="shared" si="0"/>
        <v>0</v>
      </c>
      <c r="O23" s="60">
        <f t="shared" si="0"/>
        <v>0</v>
      </c>
      <c r="P23" s="60"/>
      <c r="Q23" s="63"/>
      <c r="R23" s="106" t="s">
        <v>186</v>
      </c>
    </row>
    <row r="24" spans="7:18" ht="47.25">
      <c r="G24" s="68"/>
      <c r="H24" s="65" t="s">
        <v>98</v>
      </c>
      <c r="I24" s="65" t="s">
        <v>99</v>
      </c>
      <c r="J24" s="103">
        <v>45842</v>
      </c>
      <c r="K24" s="103">
        <v>45843</v>
      </c>
      <c r="L24" s="60">
        <f t="shared" si="0"/>
        <v>0</v>
      </c>
      <c r="M24" s="60">
        <f t="shared" si="0"/>
        <v>1</v>
      </c>
      <c r="N24" s="60">
        <f t="shared" si="0"/>
        <v>0</v>
      </c>
      <c r="O24" s="60">
        <f t="shared" si="0"/>
        <v>0</v>
      </c>
      <c r="P24" s="60"/>
      <c r="Q24" s="63"/>
      <c r="R24" s="106" t="s">
        <v>186</v>
      </c>
    </row>
    <row r="25" spans="7:18" ht="47.25">
      <c r="G25" s="68"/>
      <c r="H25" s="65" t="s">
        <v>100</v>
      </c>
      <c r="I25" s="65" t="s">
        <v>101</v>
      </c>
      <c r="J25" s="103">
        <v>45842</v>
      </c>
      <c r="K25" s="103">
        <v>45843</v>
      </c>
      <c r="L25" s="60">
        <f t="shared" si="0"/>
        <v>0</v>
      </c>
      <c r="M25" s="60">
        <f t="shared" si="0"/>
        <v>1</v>
      </c>
      <c r="N25" s="60">
        <f t="shared" si="0"/>
        <v>0</v>
      </c>
      <c r="O25" s="60">
        <f t="shared" si="0"/>
        <v>0</v>
      </c>
      <c r="P25" s="60"/>
      <c r="Q25" s="63"/>
      <c r="R25" s="114" t="s">
        <v>186</v>
      </c>
    </row>
    <row r="26" spans="7:18" ht="47.25">
      <c r="G26" s="68"/>
      <c r="H26" s="65" t="s">
        <v>102</v>
      </c>
      <c r="I26" s="65" t="s">
        <v>103</v>
      </c>
      <c r="J26" s="103">
        <v>45842</v>
      </c>
      <c r="K26" s="103">
        <v>45843</v>
      </c>
      <c r="L26" s="60">
        <f t="shared" si="0"/>
        <v>0</v>
      </c>
      <c r="M26" s="60">
        <f t="shared" si="0"/>
        <v>1</v>
      </c>
      <c r="N26" s="60">
        <f t="shared" si="0"/>
        <v>0</v>
      </c>
      <c r="O26" s="60">
        <f t="shared" si="0"/>
        <v>0</v>
      </c>
      <c r="P26" s="60"/>
      <c r="Q26" s="63"/>
      <c r="R26" s="106" t="s">
        <v>186</v>
      </c>
    </row>
    <row r="27" spans="7:18" ht="47.25">
      <c r="G27" s="68"/>
      <c r="H27" s="65" t="s">
        <v>104</v>
      </c>
      <c r="I27" s="65" t="s">
        <v>105</v>
      </c>
      <c r="J27" s="103">
        <v>45842</v>
      </c>
      <c r="K27" s="103">
        <v>45843</v>
      </c>
      <c r="L27" s="60">
        <f t="shared" si="0"/>
        <v>0</v>
      </c>
      <c r="M27" s="60">
        <f t="shared" si="0"/>
        <v>1</v>
      </c>
      <c r="N27" s="60">
        <f t="shared" si="0"/>
        <v>0</v>
      </c>
      <c r="O27" s="60">
        <f t="shared" si="0"/>
        <v>0</v>
      </c>
      <c r="P27" s="60"/>
      <c r="Q27" s="63"/>
      <c r="R27" s="106" t="s">
        <v>186</v>
      </c>
    </row>
    <row r="28" spans="7:18" ht="60">
      <c r="G28" s="68"/>
      <c r="H28" s="109" t="s">
        <v>106</v>
      </c>
      <c r="I28" s="109" t="s">
        <v>107</v>
      </c>
      <c r="J28" s="110">
        <v>45841</v>
      </c>
      <c r="K28" s="110">
        <v>45843</v>
      </c>
      <c r="L28" s="60">
        <f t="shared" si="0"/>
        <v>1</v>
      </c>
      <c r="M28" s="60">
        <f t="shared" si="0"/>
        <v>1</v>
      </c>
      <c r="N28" s="60">
        <f t="shared" si="0"/>
        <v>0</v>
      </c>
      <c r="O28" s="60">
        <f t="shared" si="0"/>
        <v>0</v>
      </c>
      <c r="P28" s="60"/>
      <c r="Q28" s="63"/>
      <c r="R28" s="121" t="s">
        <v>189</v>
      </c>
    </row>
    <row r="29" spans="7:18" ht="60">
      <c r="G29" s="68"/>
      <c r="H29" s="109" t="s">
        <v>108</v>
      </c>
      <c r="I29" s="109" t="s">
        <v>109</v>
      </c>
      <c r="J29" s="110">
        <v>45841</v>
      </c>
      <c r="K29" s="110">
        <v>45843</v>
      </c>
      <c r="L29" s="60">
        <f t="shared" si="0"/>
        <v>1</v>
      </c>
      <c r="M29" s="60">
        <f t="shared" si="0"/>
        <v>1</v>
      </c>
      <c r="N29" s="60">
        <f t="shared" si="0"/>
        <v>0</v>
      </c>
      <c r="O29" s="60">
        <f t="shared" si="0"/>
        <v>0</v>
      </c>
      <c r="P29" s="60"/>
      <c r="Q29" s="63"/>
      <c r="R29" s="121" t="s">
        <v>189</v>
      </c>
    </row>
    <row r="30" spans="7:18" ht="47.25">
      <c r="G30" s="68"/>
      <c r="H30" s="65" t="s">
        <v>110</v>
      </c>
      <c r="I30" s="65" t="s">
        <v>111</v>
      </c>
      <c r="J30" s="103">
        <v>45842</v>
      </c>
      <c r="K30" s="103">
        <v>45843</v>
      </c>
      <c r="L30" s="60">
        <f t="shared" si="0"/>
        <v>0</v>
      </c>
      <c r="M30" s="60">
        <f t="shared" si="0"/>
        <v>1</v>
      </c>
      <c r="N30" s="60">
        <f t="shared" si="0"/>
        <v>0</v>
      </c>
      <c r="O30" s="60">
        <f t="shared" si="0"/>
        <v>0</v>
      </c>
      <c r="P30" s="60"/>
      <c r="Q30" s="63"/>
      <c r="R30" s="114" t="s">
        <v>186</v>
      </c>
    </row>
    <row r="31" spans="7:18" ht="47.25">
      <c r="G31" s="68"/>
      <c r="H31" s="65" t="s">
        <v>112</v>
      </c>
      <c r="I31" s="65" t="s">
        <v>113</v>
      </c>
      <c r="J31" s="103">
        <v>45842</v>
      </c>
      <c r="K31" s="103">
        <v>45843</v>
      </c>
      <c r="L31" s="60">
        <f t="shared" si="0"/>
        <v>0</v>
      </c>
      <c r="M31" s="60">
        <f t="shared" si="0"/>
        <v>1</v>
      </c>
      <c r="N31" s="60">
        <f t="shared" si="0"/>
        <v>0</v>
      </c>
      <c r="O31" s="60">
        <f t="shared" si="0"/>
        <v>0</v>
      </c>
      <c r="P31" s="60"/>
      <c r="Q31" s="63"/>
      <c r="R31" s="106" t="s">
        <v>186</v>
      </c>
    </row>
    <row r="32" spans="7:18" ht="47.25">
      <c r="G32" s="68"/>
      <c r="H32" s="65" t="s">
        <v>114</v>
      </c>
      <c r="I32" s="65" t="s">
        <v>115</v>
      </c>
      <c r="J32" s="103">
        <v>45842</v>
      </c>
      <c r="K32" s="103">
        <v>45843</v>
      </c>
      <c r="L32" s="60">
        <f t="shared" si="0"/>
        <v>0</v>
      </c>
      <c r="M32" s="60">
        <f t="shared" si="0"/>
        <v>1</v>
      </c>
      <c r="N32" s="60">
        <f t="shared" si="0"/>
        <v>0</v>
      </c>
      <c r="O32" s="60">
        <f t="shared" si="0"/>
        <v>0</v>
      </c>
      <c r="P32" s="60"/>
      <c r="Q32" s="63"/>
      <c r="R32" s="106" t="s">
        <v>186</v>
      </c>
    </row>
    <row r="33" spans="7:18" ht="49.5" customHeight="1">
      <c r="G33" s="68" t="s">
        <v>52</v>
      </c>
      <c r="H33" s="65" t="s">
        <v>116</v>
      </c>
      <c r="I33" s="65" t="s">
        <v>117</v>
      </c>
      <c r="J33" s="103">
        <v>45842</v>
      </c>
      <c r="K33" s="103">
        <v>45843</v>
      </c>
      <c r="L33" s="60">
        <f t="shared" si="0"/>
        <v>0</v>
      </c>
      <c r="M33" s="60">
        <f t="shared" si="0"/>
        <v>1</v>
      </c>
      <c r="N33" s="60">
        <f t="shared" si="0"/>
        <v>0</v>
      </c>
      <c r="O33" s="60">
        <f t="shared" si="0"/>
        <v>0</v>
      </c>
      <c r="P33" s="60" t="str">
        <f t="shared" si="1"/>
        <v/>
      </c>
      <c r="Q33" s="63"/>
      <c r="R33" s="106" t="s">
        <v>186</v>
      </c>
    </row>
    <row r="34" spans="7:18" ht="45.75" customHeight="1">
      <c r="G34" s="68"/>
      <c r="H34" s="65" t="s">
        <v>118</v>
      </c>
      <c r="I34" s="65" t="s">
        <v>119</v>
      </c>
      <c r="J34" s="103">
        <v>45842</v>
      </c>
      <c r="K34" s="103">
        <v>45843</v>
      </c>
      <c r="L34" s="60">
        <f t="shared" si="0"/>
        <v>0</v>
      </c>
      <c r="M34" s="60">
        <f t="shared" si="0"/>
        <v>1</v>
      </c>
      <c r="N34" s="60">
        <f t="shared" si="0"/>
        <v>0</v>
      </c>
      <c r="O34" s="60">
        <f t="shared" si="0"/>
        <v>0</v>
      </c>
      <c r="P34" s="60"/>
      <c r="Q34" s="63"/>
      <c r="R34" s="106" t="s">
        <v>186</v>
      </c>
    </row>
    <row r="35" spans="7:18" ht="49.5" customHeight="1">
      <c r="G35" s="68"/>
      <c r="H35" s="65" t="s">
        <v>120</v>
      </c>
      <c r="I35" s="65" t="s">
        <v>121</v>
      </c>
      <c r="J35" s="103">
        <v>45842</v>
      </c>
      <c r="K35" s="103">
        <v>45843</v>
      </c>
      <c r="L35" s="60">
        <f t="shared" si="0"/>
        <v>0</v>
      </c>
      <c r="M35" s="60">
        <f t="shared" si="0"/>
        <v>1</v>
      </c>
      <c r="N35" s="60">
        <f t="shared" si="0"/>
        <v>0</v>
      </c>
      <c r="O35" s="60">
        <f t="shared" si="0"/>
        <v>0</v>
      </c>
      <c r="P35" s="60"/>
      <c r="Q35" s="63"/>
      <c r="R35" s="106" t="s">
        <v>186</v>
      </c>
    </row>
    <row r="36" spans="7:18" ht="42.75" customHeight="1">
      <c r="G36" s="68"/>
      <c r="H36" s="65" t="s">
        <v>122</v>
      </c>
      <c r="I36" s="65" t="s">
        <v>123</v>
      </c>
      <c r="J36" s="103">
        <v>45842</v>
      </c>
      <c r="K36" s="115">
        <v>45844</v>
      </c>
      <c r="L36" s="60">
        <f t="shared" si="0"/>
        <v>0</v>
      </c>
      <c r="M36" s="60">
        <f t="shared" si="0"/>
        <v>1</v>
      </c>
      <c r="N36" s="60">
        <f t="shared" si="0"/>
        <v>1</v>
      </c>
      <c r="O36" s="60">
        <f t="shared" si="0"/>
        <v>0</v>
      </c>
      <c r="P36" s="60"/>
      <c r="Q36" s="63"/>
      <c r="R36" s="106" t="s">
        <v>186</v>
      </c>
    </row>
    <row r="37" spans="7:18" ht="45" customHeight="1">
      <c r="G37" s="68"/>
      <c r="H37" s="65" t="s">
        <v>124</v>
      </c>
      <c r="I37" s="65" t="s">
        <v>125</v>
      </c>
      <c r="J37" s="103">
        <v>45842</v>
      </c>
      <c r="K37" s="103">
        <v>45843</v>
      </c>
      <c r="L37" s="60">
        <f t="shared" si="0"/>
        <v>0</v>
      </c>
      <c r="M37" s="60">
        <f t="shared" si="0"/>
        <v>1</v>
      </c>
      <c r="N37" s="60">
        <f t="shared" si="0"/>
        <v>0</v>
      </c>
      <c r="O37" s="60">
        <f t="shared" si="0"/>
        <v>0</v>
      </c>
      <c r="P37" s="60"/>
      <c r="Q37" s="63"/>
      <c r="R37" s="106" t="s">
        <v>186</v>
      </c>
    </row>
    <row r="38" spans="7:18" ht="44.25" customHeight="1">
      <c r="G38" s="68"/>
      <c r="H38" s="65" t="s">
        <v>126</v>
      </c>
      <c r="I38" s="65" t="s">
        <v>127</v>
      </c>
      <c r="J38" s="103">
        <v>45842</v>
      </c>
      <c r="K38" s="103">
        <v>45843</v>
      </c>
      <c r="L38" s="60">
        <f t="shared" si="0"/>
        <v>0</v>
      </c>
      <c r="M38" s="60">
        <f t="shared" si="0"/>
        <v>1</v>
      </c>
      <c r="N38" s="60">
        <f t="shared" si="0"/>
        <v>0</v>
      </c>
      <c r="O38" s="60">
        <f t="shared" si="0"/>
        <v>0</v>
      </c>
      <c r="P38" s="60"/>
      <c r="Q38" s="63"/>
      <c r="R38" s="106" t="s">
        <v>186</v>
      </c>
    </row>
    <row r="39" spans="7:18" ht="48.75" customHeight="1">
      <c r="G39" s="68"/>
      <c r="H39" s="65" t="s">
        <v>128</v>
      </c>
      <c r="I39" s="65" t="s">
        <v>129</v>
      </c>
      <c r="J39" s="103">
        <v>45842</v>
      </c>
      <c r="K39" s="103">
        <v>45843</v>
      </c>
      <c r="L39" s="60">
        <f t="shared" si="0"/>
        <v>0</v>
      </c>
      <c r="M39" s="60">
        <f t="shared" si="0"/>
        <v>1</v>
      </c>
      <c r="N39" s="60">
        <f t="shared" si="0"/>
        <v>0</v>
      </c>
      <c r="O39" s="60">
        <f t="shared" si="0"/>
        <v>0</v>
      </c>
      <c r="P39" s="60"/>
      <c r="Q39" s="63"/>
      <c r="R39" s="106" t="s">
        <v>186</v>
      </c>
    </row>
    <row r="40" spans="7:18" ht="43.5" customHeight="1">
      <c r="G40" s="68"/>
      <c r="H40" s="65" t="s">
        <v>130</v>
      </c>
      <c r="I40" s="65" t="s">
        <v>131</v>
      </c>
      <c r="J40" s="103">
        <v>45842</v>
      </c>
      <c r="K40" s="103">
        <v>45843</v>
      </c>
      <c r="L40" s="60">
        <f t="shared" si="0"/>
        <v>0</v>
      </c>
      <c r="M40" s="60">
        <f t="shared" si="0"/>
        <v>1</v>
      </c>
      <c r="N40" s="60">
        <f t="shared" si="0"/>
        <v>0</v>
      </c>
      <c r="O40" s="60">
        <f t="shared" si="0"/>
        <v>0</v>
      </c>
      <c r="P40" s="60"/>
      <c r="Q40" s="63"/>
      <c r="R40" s="106" t="s">
        <v>186</v>
      </c>
    </row>
    <row r="41" spans="7:18" ht="46.5" customHeight="1">
      <c r="G41" s="68"/>
      <c r="H41" s="65" t="s">
        <v>132</v>
      </c>
      <c r="I41" s="65" t="s">
        <v>133</v>
      </c>
      <c r="J41" s="103">
        <v>45842</v>
      </c>
      <c r="K41" s="103">
        <v>45843</v>
      </c>
      <c r="L41" s="60">
        <f t="shared" si="0"/>
        <v>0</v>
      </c>
      <c r="M41" s="60">
        <f t="shared" si="0"/>
        <v>1</v>
      </c>
      <c r="N41" s="60">
        <f t="shared" si="0"/>
        <v>0</v>
      </c>
      <c r="O41" s="60">
        <f t="shared" si="0"/>
        <v>0</v>
      </c>
      <c r="P41" s="60"/>
      <c r="Q41" s="63"/>
      <c r="R41" s="114" t="s">
        <v>186</v>
      </c>
    </row>
    <row r="42" spans="7:18" ht="43.5" customHeight="1">
      <c r="G42" s="68"/>
      <c r="H42" s="65" t="s">
        <v>134</v>
      </c>
      <c r="I42" s="65" t="s">
        <v>135</v>
      </c>
      <c r="J42" s="103">
        <v>45842</v>
      </c>
      <c r="K42" s="103">
        <v>45843</v>
      </c>
      <c r="L42" s="60">
        <f t="shared" si="0"/>
        <v>0</v>
      </c>
      <c r="M42" s="60">
        <f t="shared" si="0"/>
        <v>1</v>
      </c>
      <c r="N42" s="60">
        <f t="shared" si="0"/>
        <v>0</v>
      </c>
      <c r="O42" s="60">
        <f t="shared" si="0"/>
        <v>0</v>
      </c>
      <c r="P42" s="60"/>
      <c r="Q42" s="63"/>
      <c r="R42" s="106" t="s">
        <v>186</v>
      </c>
    </row>
    <row r="43" spans="7:18" ht="41.25" customHeight="1">
      <c r="G43" s="68"/>
      <c r="H43" s="65" t="s">
        <v>136</v>
      </c>
      <c r="I43" s="65" t="s">
        <v>137</v>
      </c>
      <c r="J43" s="103">
        <v>45842</v>
      </c>
      <c r="K43" s="103">
        <v>45843</v>
      </c>
      <c r="L43" s="60">
        <f t="shared" si="0"/>
        <v>0</v>
      </c>
      <c r="M43" s="60">
        <f t="shared" si="0"/>
        <v>1</v>
      </c>
      <c r="N43" s="60">
        <f t="shared" si="0"/>
        <v>0</v>
      </c>
      <c r="O43" s="60">
        <f t="shared" si="0"/>
        <v>0</v>
      </c>
      <c r="P43" s="60"/>
      <c r="Q43" s="63"/>
      <c r="R43" s="106" t="s">
        <v>186</v>
      </c>
    </row>
    <row r="44" spans="7:18" ht="46.5" customHeight="1">
      <c r="G44" s="68"/>
      <c r="H44" s="65" t="s">
        <v>138</v>
      </c>
      <c r="I44" s="65" t="s">
        <v>139</v>
      </c>
      <c r="J44" s="103">
        <v>45842</v>
      </c>
      <c r="K44" s="103">
        <v>45843</v>
      </c>
      <c r="L44" s="60">
        <f t="shared" si="0"/>
        <v>0</v>
      </c>
      <c r="M44" s="60">
        <f t="shared" si="0"/>
        <v>1</v>
      </c>
      <c r="N44" s="60">
        <f t="shared" si="0"/>
        <v>0</v>
      </c>
      <c r="O44" s="60">
        <f t="shared" si="0"/>
        <v>0</v>
      </c>
      <c r="P44" s="60"/>
      <c r="Q44" s="63"/>
      <c r="R44" s="106" t="s">
        <v>186</v>
      </c>
    </row>
    <row r="45" spans="7:18" ht="50.25" customHeight="1">
      <c r="G45" s="68"/>
      <c r="H45" s="65" t="s">
        <v>140</v>
      </c>
      <c r="I45" s="65" t="s">
        <v>141</v>
      </c>
      <c r="J45" s="103">
        <v>45842</v>
      </c>
      <c r="K45" s="103">
        <v>45843</v>
      </c>
      <c r="L45" s="60">
        <f t="shared" si="0"/>
        <v>0</v>
      </c>
      <c r="M45" s="60">
        <f t="shared" si="0"/>
        <v>1</v>
      </c>
      <c r="N45" s="60">
        <f t="shared" si="0"/>
        <v>0</v>
      </c>
      <c r="O45" s="60">
        <f t="shared" si="0"/>
        <v>0</v>
      </c>
      <c r="P45" s="60"/>
      <c r="Q45" s="63"/>
      <c r="R45" s="106" t="s">
        <v>186</v>
      </c>
    </row>
    <row r="46" spans="7:18" ht="42.75" customHeight="1">
      <c r="G46" s="68"/>
      <c r="H46" s="65" t="s">
        <v>142</v>
      </c>
      <c r="I46" s="65" t="s">
        <v>143</v>
      </c>
      <c r="J46" s="103">
        <v>45842</v>
      </c>
      <c r="K46" s="103">
        <v>45843</v>
      </c>
      <c r="L46" s="60">
        <f t="shared" si="0"/>
        <v>0</v>
      </c>
      <c r="M46" s="60">
        <f t="shared" si="0"/>
        <v>1</v>
      </c>
      <c r="N46" s="60">
        <f t="shared" si="0"/>
        <v>0</v>
      </c>
      <c r="O46" s="60">
        <f t="shared" si="0"/>
        <v>0</v>
      </c>
      <c r="P46" s="60"/>
      <c r="Q46" s="63"/>
      <c r="R46" s="106" t="s">
        <v>186</v>
      </c>
    </row>
    <row r="47" spans="7:18" ht="53.25" customHeight="1">
      <c r="G47" s="68"/>
      <c r="H47" s="111" t="s">
        <v>72</v>
      </c>
      <c r="I47" s="111" t="s">
        <v>144</v>
      </c>
      <c r="J47" s="103">
        <v>45842</v>
      </c>
      <c r="K47" s="103">
        <v>45843</v>
      </c>
      <c r="L47" s="60">
        <f t="shared" si="0"/>
        <v>0</v>
      </c>
      <c r="M47" s="60">
        <f t="shared" si="0"/>
        <v>1</v>
      </c>
      <c r="N47" s="60">
        <f t="shared" si="0"/>
        <v>0</v>
      </c>
      <c r="O47" s="60">
        <f t="shared" si="0"/>
        <v>0</v>
      </c>
      <c r="P47" s="60"/>
      <c r="Q47" s="63"/>
      <c r="R47" s="113" t="s">
        <v>187</v>
      </c>
    </row>
    <row r="48" spans="7:18" ht="54" customHeight="1">
      <c r="G48" s="68"/>
      <c r="H48" s="65" t="s">
        <v>145</v>
      </c>
      <c r="I48" s="65" t="s">
        <v>146</v>
      </c>
      <c r="J48" s="115">
        <v>45841</v>
      </c>
      <c r="K48" s="103">
        <v>45843</v>
      </c>
      <c r="L48" s="60">
        <f t="shared" si="0"/>
        <v>1</v>
      </c>
      <c r="M48" s="60">
        <f t="shared" si="0"/>
        <v>1</v>
      </c>
      <c r="N48" s="60">
        <f t="shared" si="0"/>
        <v>0</v>
      </c>
      <c r="O48" s="60">
        <f t="shared" si="0"/>
        <v>0</v>
      </c>
      <c r="P48" s="60"/>
      <c r="Q48" s="63"/>
      <c r="R48" s="107" t="s">
        <v>190</v>
      </c>
    </row>
    <row r="49" spans="7:18" ht="45" customHeight="1">
      <c r="G49" s="68"/>
      <c r="H49" s="65" t="s">
        <v>147</v>
      </c>
      <c r="I49" s="65" t="s">
        <v>148</v>
      </c>
      <c r="J49" s="103">
        <v>45842</v>
      </c>
      <c r="K49" s="103">
        <v>45843</v>
      </c>
      <c r="L49" s="60">
        <f t="shared" si="0"/>
        <v>0</v>
      </c>
      <c r="M49" s="60">
        <f t="shared" si="0"/>
        <v>1</v>
      </c>
      <c r="N49" s="60">
        <f t="shared" si="0"/>
        <v>0</v>
      </c>
      <c r="O49" s="60">
        <f t="shared" si="0"/>
        <v>0</v>
      </c>
      <c r="P49" s="60"/>
      <c r="Q49" s="63"/>
      <c r="R49" s="106" t="s">
        <v>186</v>
      </c>
    </row>
    <row r="50" spans="7:18" ht="54.75" customHeight="1">
      <c r="G50" s="68"/>
      <c r="H50" s="65" t="s">
        <v>149</v>
      </c>
      <c r="I50" s="65" t="s">
        <v>150</v>
      </c>
      <c r="J50" s="103">
        <v>45842</v>
      </c>
      <c r="K50" s="103">
        <v>45843</v>
      </c>
      <c r="L50" s="60">
        <f t="shared" si="0"/>
        <v>0</v>
      </c>
      <c r="M50" s="60">
        <f t="shared" si="0"/>
        <v>1</v>
      </c>
      <c r="N50" s="60">
        <f t="shared" si="0"/>
        <v>0</v>
      </c>
      <c r="O50" s="60">
        <f t="shared" si="0"/>
        <v>0</v>
      </c>
      <c r="P50" s="60"/>
      <c r="Q50" s="63"/>
      <c r="R50" s="106" t="s">
        <v>186</v>
      </c>
    </row>
    <row r="51" spans="7:18" ht="52.5" customHeight="1">
      <c r="G51" s="68"/>
      <c r="H51" s="65" t="s">
        <v>151</v>
      </c>
      <c r="I51" s="65" t="s">
        <v>152</v>
      </c>
      <c r="J51" s="103">
        <v>45842</v>
      </c>
      <c r="K51" s="103">
        <v>45843</v>
      </c>
      <c r="L51" s="60">
        <f t="shared" si="0"/>
        <v>0</v>
      </c>
      <c r="M51" s="60">
        <f t="shared" si="0"/>
        <v>1</v>
      </c>
      <c r="N51" s="60">
        <f t="shared" si="0"/>
        <v>0</v>
      </c>
      <c r="O51" s="60">
        <f t="shared" si="0"/>
        <v>0</v>
      </c>
      <c r="P51" s="60"/>
      <c r="Q51" s="63"/>
      <c r="R51" s="106" t="s">
        <v>186</v>
      </c>
    </row>
    <row r="52" spans="7:18" ht="43.5" customHeight="1">
      <c r="G52" s="68"/>
      <c r="H52" s="111" t="s">
        <v>153</v>
      </c>
      <c r="I52" s="111" t="s">
        <v>154</v>
      </c>
      <c r="J52" s="112">
        <v>45842</v>
      </c>
      <c r="K52" s="112">
        <v>45843</v>
      </c>
      <c r="L52" s="60">
        <f t="shared" si="0"/>
        <v>0</v>
      </c>
      <c r="M52" s="60">
        <f t="shared" si="0"/>
        <v>1</v>
      </c>
      <c r="N52" s="60">
        <f t="shared" si="0"/>
        <v>0</v>
      </c>
      <c r="O52" s="60">
        <f t="shared" si="0"/>
        <v>0</v>
      </c>
      <c r="P52" s="60"/>
      <c r="Q52" s="63"/>
      <c r="R52" s="113" t="s">
        <v>187</v>
      </c>
    </row>
    <row r="53" spans="7:18" ht="45" customHeight="1">
      <c r="G53" s="68"/>
      <c r="H53" s="109" t="s">
        <v>155</v>
      </c>
      <c r="I53" s="109" t="s">
        <v>156</v>
      </c>
      <c r="J53" s="110">
        <v>45841</v>
      </c>
      <c r="K53" s="110">
        <v>45843</v>
      </c>
      <c r="L53" s="60">
        <f t="shared" si="0"/>
        <v>1</v>
      </c>
      <c r="M53" s="60">
        <f t="shared" si="0"/>
        <v>1</v>
      </c>
      <c r="N53" s="60">
        <f t="shared" si="0"/>
        <v>0</v>
      </c>
      <c r="O53" s="60">
        <f t="shared" si="0"/>
        <v>0</v>
      </c>
      <c r="P53" s="60"/>
      <c r="Q53" s="63"/>
      <c r="R53" s="108" t="s">
        <v>191</v>
      </c>
    </row>
    <row r="54" spans="7:18" ht="42.75" customHeight="1">
      <c r="G54" s="68"/>
      <c r="H54" s="65" t="s">
        <v>157</v>
      </c>
      <c r="I54" s="65" t="s">
        <v>158</v>
      </c>
      <c r="J54" s="103">
        <v>45842</v>
      </c>
      <c r="K54" s="103">
        <v>45843</v>
      </c>
      <c r="L54" s="60">
        <f t="shared" si="0"/>
        <v>0</v>
      </c>
      <c r="M54" s="60">
        <f t="shared" si="0"/>
        <v>1</v>
      </c>
      <c r="N54" s="60">
        <f t="shared" si="0"/>
        <v>0</v>
      </c>
      <c r="O54" s="60">
        <f t="shared" si="0"/>
        <v>0</v>
      </c>
      <c r="P54" s="60"/>
      <c r="Q54" s="63"/>
      <c r="R54" s="106" t="s">
        <v>186</v>
      </c>
    </row>
    <row r="55" spans="7:18" ht="49.5" customHeight="1">
      <c r="G55" s="68"/>
      <c r="H55" s="65" t="s">
        <v>159</v>
      </c>
      <c r="I55" s="65" t="s">
        <v>160</v>
      </c>
      <c r="J55" s="103">
        <v>45842</v>
      </c>
      <c r="K55" s="115">
        <v>45844</v>
      </c>
      <c r="L55" s="60">
        <f t="shared" si="0"/>
        <v>0</v>
      </c>
      <c r="M55" s="60">
        <f t="shared" si="0"/>
        <v>1</v>
      </c>
      <c r="N55" s="60">
        <f t="shared" si="0"/>
        <v>1</v>
      </c>
      <c r="O55" s="60">
        <f t="shared" si="0"/>
        <v>0</v>
      </c>
      <c r="P55" s="60"/>
      <c r="Q55" s="63"/>
      <c r="R55" s="106" t="s">
        <v>186</v>
      </c>
    </row>
    <row r="56" spans="7:18" ht="54" customHeight="1">
      <c r="G56" s="68"/>
      <c r="H56" s="122" t="s">
        <v>161</v>
      </c>
      <c r="I56" s="122" t="s">
        <v>161</v>
      </c>
      <c r="J56" s="123">
        <v>45842</v>
      </c>
      <c r="K56" s="123">
        <v>45843</v>
      </c>
      <c r="L56" s="104">
        <f t="shared" si="0"/>
        <v>0</v>
      </c>
      <c r="M56" s="104">
        <f t="shared" si="0"/>
        <v>1</v>
      </c>
      <c r="N56" s="104">
        <f t="shared" si="0"/>
        <v>0</v>
      </c>
      <c r="O56" s="104">
        <f t="shared" si="0"/>
        <v>0</v>
      </c>
      <c r="P56" s="104"/>
      <c r="Q56" s="105"/>
      <c r="R56" s="126" t="s">
        <v>186</v>
      </c>
    </row>
    <row r="57" spans="7:18" ht="47.25" customHeight="1">
      <c r="G57" s="68"/>
      <c r="H57" s="122" t="s">
        <v>161</v>
      </c>
      <c r="I57" s="122" t="s">
        <v>161</v>
      </c>
      <c r="J57" s="123">
        <v>45842</v>
      </c>
      <c r="K57" s="123">
        <v>45843</v>
      </c>
      <c r="L57" s="104">
        <f t="shared" si="0"/>
        <v>0</v>
      </c>
      <c r="M57" s="104">
        <f t="shared" si="0"/>
        <v>1</v>
      </c>
      <c r="N57" s="104">
        <f t="shared" si="0"/>
        <v>0</v>
      </c>
      <c r="O57" s="104">
        <f t="shared" si="0"/>
        <v>0</v>
      </c>
      <c r="P57" s="104"/>
      <c r="Q57" s="105"/>
      <c r="R57" s="126" t="s">
        <v>186</v>
      </c>
    </row>
    <row r="58" spans="7:18" ht="45.75" customHeight="1">
      <c r="G58" s="68"/>
      <c r="H58" s="122" t="s">
        <v>161</v>
      </c>
      <c r="I58" s="122" t="s">
        <v>161</v>
      </c>
      <c r="J58" s="123">
        <v>45842</v>
      </c>
      <c r="K58" s="123">
        <v>45843</v>
      </c>
      <c r="L58" s="104">
        <f t="shared" si="0"/>
        <v>0</v>
      </c>
      <c r="M58" s="104">
        <f t="shared" si="0"/>
        <v>1</v>
      </c>
      <c r="N58" s="104">
        <f t="shared" si="0"/>
        <v>0</v>
      </c>
      <c r="O58" s="104">
        <f t="shared" si="0"/>
        <v>0</v>
      </c>
      <c r="P58" s="104"/>
      <c r="Q58" s="105"/>
      <c r="R58" s="126" t="s">
        <v>186</v>
      </c>
    </row>
    <row r="59" spans="7:18" ht="48.75" customHeight="1">
      <c r="G59" s="68"/>
      <c r="H59" s="65" t="s">
        <v>162</v>
      </c>
      <c r="I59" s="65" t="s">
        <v>163</v>
      </c>
      <c r="J59" s="103">
        <v>45842</v>
      </c>
      <c r="K59" s="103">
        <v>45843</v>
      </c>
      <c r="L59" s="60">
        <f t="shared" si="0"/>
        <v>0</v>
      </c>
      <c r="M59" s="60">
        <f t="shared" si="0"/>
        <v>1</v>
      </c>
      <c r="N59" s="60">
        <f t="shared" si="0"/>
        <v>0</v>
      </c>
      <c r="O59" s="60">
        <f t="shared" si="0"/>
        <v>0</v>
      </c>
      <c r="P59" s="60"/>
      <c r="Q59" s="63"/>
      <c r="R59" s="106" t="s">
        <v>186</v>
      </c>
    </row>
    <row r="60" spans="7:18" ht="40.5" customHeight="1">
      <c r="G60" s="68"/>
      <c r="H60" s="109" t="s">
        <v>164</v>
      </c>
      <c r="I60" s="109" t="s">
        <v>165</v>
      </c>
      <c r="J60" s="110">
        <v>45841</v>
      </c>
      <c r="K60" s="110">
        <v>45843</v>
      </c>
      <c r="L60" s="60">
        <f t="shared" si="0"/>
        <v>1</v>
      </c>
      <c r="M60" s="60">
        <f t="shared" si="0"/>
        <v>1</v>
      </c>
      <c r="N60" s="60">
        <f t="shared" si="0"/>
        <v>0</v>
      </c>
      <c r="O60" s="60">
        <f t="shared" si="0"/>
        <v>0</v>
      </c>
      <c r="P60" s="60"/>
      <c r="Q60" s="63"/>
      <c r="R60" s="108" t="s">
        <v>191</v>
      </c>
    </row>
    <row r="61" spans="7:18" ht="42.75" customHeight="1">
      <c r="G61" s="68"/>
      <c r="H61" s="65" t="s">
        <v>166</v>
      </c>
      <c r="I61" s="65" t="s">
        <v>167</v>
      </c>
      <c r="J61" s="103">
        <v>45842</v>
      </c>
      <c r="K61" s="115">
        <v>45844</v>
      </c>
      <c r="L61" s="60">
        <f t="shared" si="0"/>
        <v>0</v>
      </c>
      <c r="M61" s="60">
        <f t="shared" si="0"/>
        <v>1</v>
      </c>
      <c r="N61" s="60">
        <f t="shared" si="0"/>
        <v>1</v>
      </c>
      <c r="O61" s="60">
        <f t="shared" si="0"/>
        <v>0</v>
      </c>
      <c r="P61" s="60"/>
      <c r="Q61" s="63"/>
      <c r="R61" s="106" t="s">
        <v>186</v>
      </c>
    </row>
    <row r="62" spans="7:18" ht="42.75" customHeight="1">
      <c r="G62" s="68"/>
      <c r="H62" s="122" t="s">
        <v>168</v>
      </c>
      <c r="I62" s="122" t="s">
        <v>169</v>
      </c>
      <c r="J62" s="123"/>
      <c r="K62" s="123"/>
      <c r="L62" s="104">
        <f t="shared" si="0"/>
        <v>0</v>
      </c>
      <c r="M62" s="104">
        <f t="shared" si="0"/>
        <v>0</v>
      </c>
      <c r="N62" s="104">
        <f t="shared" si="0"/>
        <v>0</v>
      </c>
      <c r="O62" s="104">
        <f t="shared" si="0"/>
        <v>0</v>
      </c>
      <c r="P62" s="104"/>
      <c r="Q62" s="105"/>
      <c r="R62" s="125" t="s">
        <v>192</v>
      </c>
    </row>
    <row r="63" spans="7:18" ht="52.5" customHeight="1">
      <c r="G63" s="68"/>
      <c r="H63" s="65" t="s">
        <v>170</v>
      </c>
      <c r="I63" s="65" t="s">
        <v>171</v>
      </c>
      <c r="J63" s="103">
        <v>45842</v>
      </c>
      <c r="K63" s="103">
        <v>45843</v>
      </c>
      <c r="L63" s="60">
        <f t="shared" si="0"/>
        <v>0</v>
      </c>
      <c r="M63" s="60">
        <f t="shared" si="0"/>
        <v>1</v>
      </c>
      <c r="N63" s="60">
        <f t="shared" si="0"/>
        <v>0</v>
      </c>
      <c r="O63" s="60">
        <f t="shared" si="0"/>
        <v>0</v>
      </c>
      <c r="P63" s="60"/>
      <c r="Q63" s="63"/>
      <c r="R63" s="106" t="s">
        <v>186</v>
      </c>
    </row>
    <row r="64" spans="7:18" ht="47.25" customHeight="1">
      <c r="G64" s="68"/>
      <c r="H64" s="65" t="s">
        <v>172</v>
      </c>
      <c r="I64" s="65" t="s">
        <v>173</v>
      </c>
      <c r="J64" s="103">
        <v>45842</v>
      </c>
      <c r="K64" s="103">
        <v>45843</v>
      </c>
      <c r="L64" s="60">
        <f t="shared" si="0"/>
        <v>0</v>
      </c>
      <c r="M64" s="60">
        <f t="shared" si="0"/>
        <v>1</v>
      </c>
      <c r="N64" s="60">
        <f t="shared" si="0"/>
        <v>0</v>
      </c>
      <c r="O64" s="60">
        <f t="shared" si="0"/>
        <v>0</v>
      </c>
      <c r="P64" s="60"/>
      <c r="Q64" s="63"/>
      <c r="R64" s="106" t="s">
        <v>186</v>
      </c>
    </row>
    <row r="65" spans="6:18" ht="47.25">
      <c r="G65" s="68" t="s">
        <v>52</v>
      </c>
      <c r="H65" s="65" t="s">
        <v>174</v>
      </c>
      <c r="I65" s="65" t="s">
        <v>175</v>
      </c>
      <c r="J65" s="103">
        <v>45842</v>
      </c>
      <c r="K65" s="103">
        <v>45843</v>
      </c>
      <c r="L65" s="60">
        <f t="shared" si="0"/>
        <v>0</v>
      </c>
      <c r="M65" s="60">
        <f t="shared" si="0"/>
        <v>1</v>
      </c>
      <c r="N65" s="60">
        <f t="shared" si="0"/>
        <v>0</v>
      </c>
      <c r="O65" s="60">
        <f t="shared" si="0"/>
        <v>0</v>
      </c>
      <c r="P65" s="60" t="str">
        <f t="shared" si="1"/>
        <v/>
      </c>
      <c r="Q65" s="63"/>
      <c r="R65" s="106" t="s">
        <v>186</v>
      </c>
    </row>
    <row r="66" spans="6:18" ht="15.75">
      <c r="G66" s="68" t="s">
        <v>52</v>
      </c>
      <c r="H66" s="116" t="s">
        <v>176</v>
      </c>
      <c r="I66" s="116" t="s">
        <v>177</v>
      </c>
      <c r="J66" s="117">
        <v>45841</v>
      </c>
      <c r="K66" s="117">
        <v>45843</v>
      </c>
      <c r="L66" s="60">
        <f t="shared" si="0"/>
        <v>1</v>
      </c>
      <c r="M66" s="60">
        <f t="shared" si="0"/>
        <v>1</v>
      </c>
      <c r="N66" s="60">
        <f t="shared" si="0"/>
        <v>0</v>
      </c>
      <c r="O66" s="60">
        <f t="shared" si="0"/>
        <v>0</v>
      </c>
      <c r="P66" s="60" t="str">
        <f t="shared" si="1"/>
        <v/>
      </c>
      <c r="Q66" s="63"/>
      <c r="R66" s="120" t="s">
        <v>188</v>
      </c>
    </row>
    <row r="67" spans="6:18" ht="47.25">
      <c r="G67" s="68" t="s">
        <v>52</v>
      </c>
      <c r="H67" s="65" t="s">
        <v>178</v>
      </c>
      <c r="I67" s="65" t="s">
        <v>179</v>
      </c>
      <c r="J67" s="103">
        <v>45842</v>
      </c>
      <c r="K67" s="103">
        <v>45843</v>
      </c>
      <c r="L67" s="60">
        <f t="shared" si="0"/>
        <v>0</v>
      </c>
      <c r="M67" s="60">
        <f t="shared" si="0"/>
        <v>1</v>
      </c>
      <c r="N67" s="60">
        <f t="shared" si="0"/>
        <v>0</v>
      </c>
      <c r="O67" s="60">
        <f t="shared" ref="O67:O77" si="2">IF(O$3="","",IF(AND(O$3&lt;$K67,O$3&gt;=$J67),1,0))</f>
        <v>0</v>
      </c>
      <c r="P67" s="60" t="str">
        <f t="shared" si="1"/>
        <v/>
      </c>
      <c r="Q67" s="63"/>
      <c r="R67" s="106" t="s">
        <v>186</v>
      </c>
    </row>
    <row r="68" spans="6:18" ht="47.25">
      <c r="G68" s="68" t="s">
        <v>52</v>
      </c>
      <c r="H68" s="65" t="s">
        <v>180</v>
      </c>
      <c r="I68" s="65" t="s">
        <v>181</v>
      </c>
      <c r="J68" s="103">
        <v>45842</v>
      </c>
      <c r="K68" s="103">
        <v>45843</v>
      </c>
      <c r="L68" s="60">
        <f t="shared" ref="L68:N77" si="3">IF(L$3="","",IF(AND(L$3&lt;$K68,L$3&gt;=$J68),1,0))</f>
        <v>0</v>
      </c>
      <c r="M68" s="60">
        <f t="shared" si="3"/>
        <v>1</v>
      </c>
      <c r="N68" s="60">
        <f t="shared" si="3"/>
        <v>0</v>
      </c>
      <c r="O68" s="60">
        <f t="shared" si="2"/>
        <v>0</v>
      </c>
      <c r="P68" s="60" t="str">
        <f t="shared" si="1"/>
        <v/>
      </c>
      <c r="Q68" s="63"/>
      <c r="R68" s="106" t="s">
        <v>186</v>
      </c>
    </row>
    <row r="69" spans="6:18" ht="15.75">
      <c r="G69" s="68" t="s">
        <v>52</v>
      </c>
      <c r="H69" s="122" t="s">
        <v>182</v>
      </c>
      <c r="I69" s="122" t="s">
        <v>183</v>
      </c>
      <c r="J69" s="123">
        <v>45841</v>
      </c>
      <c r="K69" s="123">
        <v>45843</v>
      </c>
      <c r="L69" s="60">
        <f t="shared" si="3"/>
        <v>1</v>
      </c>
      <c r="M69" s="60">
        <f t="shared" si="3"/>
        <v>1</v>
      </c>
      <c r="N69" s="60">
        <f t="shared" si="3"/>
        <v>0</v>
      </c>
      <c r="O69" s="60">
        <f t="shared" si="2"/>
        <v>0</v>
      </c>
      <c r="P69" s="60" t="str">
        <f t="shared" si="1"/>
        <v/>
      </c>
      <c r="Q69" s="63"/>
      <c r="R69" s="127" t="s">
        <v>193</v>
      </c>
    </row>
    <row r="70" spans="6:18" ht="45">
      <c r="G70" s="68" t="s">
        <v>52</v>
      </c>
      <c r="H70" s="65" t="s">
        <v>184</v>
      </c>
      <c r="I70" s="65" t="s">
        <v>185</v>
      </c>
      <c r="J70" s="103">
        <v>45842</v>
      </c>
      <c r="K70" s="103">
        <v>45843</v>
      </c>
      <c r="L70" s="60">
        <f t="shared" si="3"/>
        <v>0</v>
      </c>
      <c r="M70" s="60">
        <f t="shared" si="3"/>
        <v>1</v>
      </c>
      <c r="N70" s="60">
        <f t="shared" si="3"/>
        <v>0</v>
      </c>
      <c r="O70" s="60">
        <f t="shared" si="2"/>
        <v>0</v>
      </c>
      <c r="P70" s="60" t="str">
        <f t="shared" si="1"/>
        <v/>
      </c>
      <c r="Q70" s="63"/>
      <c r="R70" s="124" t="s">
        <v>186</v>
      </c>
    </row>
    <row r="71" spans="6:18" ht="15.75">
      <c r="F71" s="62"/>
      <c r="G71" s="67" t="s">
        <v>50</v>
      </c>
      <c r="H71" s="85"/>
      <c r="I71" s="85"/>
      <c r="J71" s="86"/>
      <c r="K71" s="86"/>
      <c r="L71" s="60">
        <f t="shared" si="3"/>
        <v>0</v>
      </c>
      <c r="M71" s="60">
        <f t="shared" si="3"/>
        <v>0</v>
      </c>
      <c r="N71" s="60">
        <f t="shared" si="3"/>
        <v>0</v>
      </c>
      <c r="O71" s="60">
        <f t="shared" si="2"/>
        <v>0</v>
      </c>
      <c r="P71" s="60" t="str">
        <f t="shared" si="1"/>
        <v/>
      </c>
      <c r="Q71" s="63"/>
      <c r="R71" s="70"/>
    </row>
    <row r="72" spans="6:18" ht="15.75">
      <c r="G72" s="68" t="s">
        <v>52</v>
      </c>
      <c r="H72" s="65"/>
      <c r="I72" s="65"/>
      <c r="J72" s="66"/>
      <c r="K72" s="66"/>
      <c r="L72" s="60">
        <f t="shared" si="3"/>
        <v>0</v>
      </c>
      <c r="M72" s="60">
        <f t="shared" si="3"/>
        <v>0</v>
      </c>
      <c r="N72" s="60">
        <f t="shared" si="3"/>
        <v>0</v>
      </c>
      <c r="O72" s="60">
        <f t="shared" si="2"/>
        <v>0</v>
      </c>
      <c r="P72" s="60" t="str">
        <f t="shared" si="1"/>
        <v/>
      </c>
      <c r="Q72" s="63"/>
      <c r="R72" s="70"/>
    </row>
    <row r="73" spans="6:18" ht="15.75">
      <c r="G73" s="67" t="s">
        <v>51</v>
      </c>
      <c r="H73" s="85"/>
      <c r="I73" s="85"/>
      <c r="J73" s="86"/>
      <c r="K73" s="86"/>
      <c r="L73" s="60">
        <f t="shared" si="3"/>
        <v>0</v>
      </c>
      <c r="M73" s="60">
        <f t="shared" si="3"/>
        <v>0</v>
      </c>
      <c r="N73" s="60">
        <f t="shared" si="3"/>
        <v>0</v>
      </c>
      <c r="O73" s="60">
        <f t="shared" si="2"/>
        <v>0</v>
      </c>
      <c r="P73" s="60" t="str">
        <f t="shared" si="1"/>
        <v/>
      </c>
      <c r="Q73" s="63"/>
      <c r="R73" s="70"/>
    </row>
    <row r="74" spans="6:18" ht="15.75">
      <c r="G74" s="68" t="s">
        <v>52</v>
      </c>
      <c r="H74" s="65"/>
      <c r="I74" s="65"/>
      <c r="J74" s="66"/>
      <c r="K74" s="66"/>
      <c r="L74" s="60">
        <f t="shared" si="3"/>
        <v>0</v>
      </c>
      <c r="M74" s="60">
        <f t="shared" si="3"/>
        <v>0</v>
      </c>
      <c r="N74" s="60">
        <f t="shared" si="3"/>
        <v>0</v>
      </c>
      <c r="O74" s="60">
        <f t="shared" si="2"/>
        <v>0</v>
      </c>
      <c r="P74" s="60" t="str">
        <f t="shared" si="1"/>
        <v/>
      </c>
      <c r="Q74" s="63"/>
      <c r="R74" s="70"/>
    </row>
    <row r="75" spans="6:18" ht="15.75">
      <c r="G75" s="87"/>
      <c r="H75" s="65"/>
      <c r="I75" s="65"/>
      <c r="J75" s="66"/>
      <c r="K75" s="66"/>
      <c r="L75" s="60">
        <f t="shared" si="3"/>
        <v>0</v>
      </c>
      <c r="M75" s="60">
        <f t="shared" si="3"/>
        <v>0</v>
      </c>
      <c r="N75" s="60">
        <f t="shared" si="3"/>
        <v>0</v>
      </c>
      <c r="O75" s="60">
        <f t="shared" si="2"/>
        <v>0</v>
      </c>
      <c r="P75" s="60"/>
      <c r="Q75" s="63"/>
      <c r="R75" s="70"/>
    </row>
    <row r="76" spans="6:18" ht="15.75">
      <c r="G76" s="87"/>
      <c r="H76" s="65"/>
      <c r="I76" s="65"/>
      <c r="J76" s="66"/>
      <c r="K76" s="66"/>
      <c r="L76" s="60">
        <f t="shared" si="3"/>
        <v>0</v>
      </c>
      <c r="M76" s="60">
        <f t="shared" si="3"/>
        <v>0</v>
      </c>
      <c r="N76" s="60">
        <f t="shared" si="3"/>
        <v>0</v>
      </c>
      <c r="O76" s="60">
        <f t="shared" si="2"/>
        <v>0</v>
      </c>
      <c r="P76" s="60"/>
      <c r="Q76" s="63"/>
      <c r="R76" s="70"/>
    </row>
    <row r="77" spans="6:18" ht="15" thickBot="1">
      <c r="H77" s="65"/>
      <c r="I77" s="65"/>
      <c r="J77" s="66"/>
      <c r="K77" s="66"/>
      <c r="L77" s="60">
        <f t="shared" si="3"/>
        <v>0</v>
      </c>
      <c r="M77" s="60">
        <f t="shared" si="3"/>
        <v>0</v>
      </c>
      <c r="N77" s="60">
        <f t="shared" si="3"/>
        <v>0</v>
      </c>
      <c r="O77" s="60">
        <f t="shared" si="2"/>
        <v>0</v>
      </c>
      <c r="P77" s="60" t="str">
        <f t="shared" ref="P77" si="4">IF(P$3="","",IF(AND(P$3&lt;$K77,P$3&gt;=$J77),1,0))</f>
        <v/>
      </c>
      <c r="Q77" s="63"/>
      <c r="R77" s="70"/>
    </row>
    <row r="78" spans="6:18" ht="15.75" thickBot="1">
      <c r="K78" s="74" t="s">
        <v>56</v>
      </c>
      <c r="L78" s="75">
        <f>SUM(L4:L77)</f>
        <v>8</v>
      </c>
      <c r="M78" s="75">
        <f>SUM(M4:M77)</f>
        <v>66</v>
      </c>
      <c r="N78" s="75">
        <f>SUM(N4:N77)</f>
        <v>3</v>
      </c>
      <c r="O78" s="75">
        <f>SUM(O4:O77)</f>
        <v>0</v>
      </c>
      <c r="P78" s="75">
        <f>SUM(L78:O78)</f>
        <v>77</v>
      </c>
      <c r="Q78" s="75" t="e">
        <f t="shared" ref="Q78" si="5">SUM(#REF!)</f>
        <v>#REF!</v>
      </c>
      <c r="R78" s="76"/>
    </row>
    <row r="79" spans="6:18" ht="15">
      <c r="K79" s="77" t="s">
        <v>57</v>
      </c>
      <c r="L79" s="60">
        <v>7</v>
      </c>
      <c r="M79" s="60">
        <v>80</v>
      </c>
      <c r="N79" s="60">
        <v>2</v>
      </c>
      <c r="O79" s="60">
        <v>0</v>
      </c>
      <c r="P79" s="75">
        <f>SUM(L79:O79)</f>
        <v>89</v>
      </c>
      <c r="Q79" s="60">
        <v>2</v>
      </c>
      <c r="R79" s="78"/>
    </row>
    <row r="80" spans="6:18" ht="15">
      <c r="K80" s="77" t="s">
        <v>58</v>
      </c>
      <c r="L80" s="79">
        <f>L78-L79</f>
        <v>1</v>
      </c>
      <c r="M80" s="79">
        <f t="shared" ref="M80:O80" si="6">M78-M79</f>
        <v>-14</v>
      </c>
      <c r="N80" s="79">
        <f t="shared" si="6"/>
        <v>1</v>
      </c>
      <c r="O80" s="79">
        <f t="shared" si="6"/>
        <v>0</v>
      </c>
      <c r="P80" s="79">
        <f>P78-P79</f>
        <v>-12</v>
      </c>
      <c r="Q80" s="79" t="e">
        <f>Q79-Q78</f>
        <v>#REF!</v>
      </c>
      <c r="R80" s="80"/>
    </row>
    <row r="81" spans="11:18" ht="15.75" thickBot="1">
      <c r="K81" s="81"/>
      <c r="L81" s="57">
        <v>45841</v>
      </c>
      <c r="M81" s="59">
        <f>IFERROR(IF(L81=$P$2,"",IF(L81&lt;&gt;$P$2,L81+1,$P$2)),"")</f>
        <v>45842</v>
      </c>
      <c r="N81" s="59">
        <f>IFERROR(IF(M81=$P$2,"",IF(M81&lt;&gt;$P$2,M81+1,$P$2)),"")</f>
        <v>45843</v>
      </c>
      <c r="O81" s="59">
        <f>IFERROR(IF(N81=$P$2,"",IF(N81&lt;&gt;$P$2,N81+1,$P$2)),"")</f>
        <v>45844</v>
      </c>
      <c r="P81" s="82"/>
      <c r="Q81" s="82">
        <v>45444</v>
      </c>
      <c r="R81" s="83"/>
    </row>
    <row r="82" spans="11:18" hidden="1">
      <c r="L82" s="84"/>
      <c r="M82" s="84"/>
      <c r="N82" s="84"/>
      <c r="O82" s="84"/>
      <c r="P82" s="84"/>
    </row>
    <row r="83" spans="11:18" hidden="1">
      <c r="L83" s="60"/>
      <c r="M83" s="60"/>
      <c r="N83" s="60"/>
      <c r="O83" s="60"/>
      <c r="P83" s="60"/>
    </row>
    <row r="84" spans="11:18" hidden="1">
      <c r="L84" s="60"/>
      <c r="M84" s="60"/>
      <c r="N84" s="60"/>
      <c r="O84" s="60"/>
      <c r="P84" s="60"/>
    </row>
    <row r="85" spans="11:18" hidden="1">
      <c r="L85" s="60"/>
      <c r="M85" s="60"/>
      <c r="N85" s="60"/>
      <c r="O85" s="60"/>
      <c r="P85" s="60"/>
    </row>
    <row r="86" spans="11:18" hidden="1">
      <c r="L86" s="60"/>
      <c r="M86" s="60"/>
      <c r="N86" s="60"/>
      <c r="O86" s="60"/>
      <c r="P86" s="60"/>
    </row>
    <row r="87" spans="11:18" hidden="1">
      <c r="L87" s="60">
        <f t="shared" ref="L87:P110" si="7">IF(L$3="","",IF(AND(L$3&lt;$K87,L$3&gt;=$J87),1,0))</f>
        <v>0</v>
      </c>
      <c r="M87" s="60">
        <f t="shared" si="7"/>
        <v>0</v>
      </c>
      <c r="N87" s="60">
        <f t="shared" si="7"/>
        <v>0</v>
      </c>
      <c r="O87" s="60">
        <f t="shared" si="7"/>
        <v>0</v>
      </c>
      <c r="P87" s="60" t="str">
        <f t="shared" si="7"/>
        <v/>
      </c>
    </row>
    <row r="88" spans="11:18" hidden="1">
      <c r="L88" s="60">
        <f t="shared" si="7"/>
        <v>0</v>
      </c>
      <c r="M88" s="60">
        <f t="shared" si="7"/>
        <v>0</v>
      </c>
      <c r="N88" s="60">
        <f t="shared" si="7"/>
        <v>0</v>
      </c>
      <c r="O88" s="60">
        <f t="shared" si="7"/>
        <v>0</v>
      </c>
      <c r="P88" s="60" t="str">
        <f t="shared" si="7"/>
        <v/>
      </c>
    </row>
    <row r="89" spans="11:18" hidden="1">
      <c r="L89" s="60">
        <f t="shared" si="7"/>
        <v>0</v>
      </c>
      <c r="M89" s="60">
        <f t="shared" si="7"/>
        <v>0</v>
      </c>
      <c r="N89" s="60">
        <f t="shared" si="7"/>
        <v>0</v>
      </c>
      <c r="O89" s="60">
        <f t="shared" si="7"/>
        <v>0</v>
      </c>
      <c r="P89" s="60" t="str">
        <f t="shared" si="7"/>
        <v/>
      </c>
    </row>
    <row r="90" spans="11:18" hidden="1">
      <c r="L90" s="60">
        <f t="shared" si="7"/>
        <v>0</v>
      </c>
      <c r="M90" s="60">
        <f t="shared" si="7"/>
        <v>0</v>
      </c>
      <c r="N90" s="60">
        <f t="shared" si="7"/>
        <v>0</v>
      </c>
      <c r="O90" s="60">
        <f t="shared" si="7"/>
        <v>0</v>
      </c>
      <c r="P90" s="60" t="str">
        <f t="shared" si="7"/>
        <v/>
      </c>
    </row>
    <row r="91" spans="11:18" hidden="1">
      <c r="L91" s="60">
        <f t="shared" ref="L91:P99" si="8">IF(L$3="","",IF(AND(L$3&lt;$K91,L$3&gt;=$J91),1,0))</f>
        <v>0</v>
      </c>
      <c r="M91" s="60">
        <f t="shared" si="8"/>
        <v>0</v>
      </c>
      <c r="N91" s="60">
        <f t="shared" si="8"/>
        <v>0</v>
      </c>
      <c r="O91" s="60">
        <f t="shared" si="8"/>
        <v>0</v>
      </c>
      <c r="P91" s="60" t="str">
        <f t="shared" si="8"/>
        <v/>
      </c>
    </row>
    <row r="92" spans="11:18" hidden="1">
      <c r="L92" s="60">
        <f t="shared" si="8"/>
        <v>0</v>
      </c>
      <c r="M92" s="60">
        <f t="shared" si="8"/>
        <v>0</v>
      </c>
      <c r="N92" s="60">
        <f t="shared" si="8"/>
        <v>0</v>
      </c>
      <c r="O92" s="60">
        <f t="shared" si="8"/>
        <v>0</v>
      </c>
      <c r="P92" s="60" t="str">
        <f t="shared" si="8"/>
        <v/>
      </c>
    </row>
    <row r="93" spans="11:18" hidden="1">
      <c r="L93" s="60">
        <f t="shared" si="8"/>
        <v>0</v>
      </c>
      <c r="M93" s="60">
        <f t="shared" si="8"/>
        <v>0</v>
      </c>
      <c r="N93" s="60">
        <f t="shared" si="8"/>
        <v>0</v>
      </c>
      <c r="O93" s="60">
        <f t="shared" si="8"/>
        <v>0</v>
      </c>
      <c r="P93" s="60" t="str">
        <f t="shared" si="8"/>
        <v/>
      </c>
    </row>
    <row r="94" spans="11:18" hidden="1">
      <c r="L94" s="60">
        <f t="shared" si="8"/>
        <v>0</v>
      </c>
      <c r="M94" s="60">
        <f t="shared" si="8"/>
        <v>0</v>
      </c>
      <c r="N94" s="60">
        <f t="shared" si="8"/>
        <v>0</v>
      </c>
      <c r="O94" s="60">
        <f t="shared" si="8"/>
        <v>0</v>
      </c>
      <c r="P94" s="60" t="str">
        <f t="shared" si="8"/>
        <v/>
      </c>
    </row>
    <row r="95" spans="11:18" hidden="1">
      <c r="L95" s="60">
        <f t="shared" si="8"/>
        <v>0</v>
      </c>
      <c r="M95" s="60">
        <f t="shared" si="8"/>
        <v>0</v>
      </c>
      <c r="N95" s="60">
        <f t="shared" si="8"/>
        <v>0</v>
      </c>
      <c r="O95" s="60">
        <f t="shared" si="8"/>
        <v>0</v>
      </c>
      <c r="P95" s="60" t="str">
        <f t="shared" si="8"/>
        <v/>
      </c>
    </row>
    <row r="96" spans="11:18" hidden="1">
      <c r="L96" s="60">
        <f t="shared" si="8"/>
        <v>0</v>
      </c>
      <c r="M96" s="60">
        <f t="shared" si="8"/>
        <v>0</v>
      </c>
      <c r="N96" s="60">
        <f t="shared" si="8"/>
        <v>0</v>
      </c>
      <c r="O96" s="60">
        <f t="shared" si="8"/>
        <v>0</v>
      </c>
      <c r="P96" s="60" t="str">
        <f t="shared" si="8"/>
        <v/>
      </c>
    </row>
    <row r="97" spans="12:16" hidden="1">
      <c r="L97" s="60">
        <f t="shared" si="8"/>
        <v>0</v>
      </c>
      <c r="M97" s="60">
        <f t="shared" si="8"/>
        <v>0</v>
      </c>
      <c r="N97" s="60">
        <f t="shared" si="8"/>
        <v>0</v>
      </c>
      <c r="O97" s="60">
        <f t="shared" si="8"/>
        <v>0</v>
      </c>
      <c r="P97" s="60" t="str">
        <f t="shared" si="8"/>
        <v/>
      </c>
    </row>
    <row r="98" spans="12:16" hidden="1">
      <c r="L98" s="60">
        <f t="shared" si="8"/>
        <v>0</v>
      </c>
      <c r="M98" s="60">
        <f t="shared" si="8"/>
        <v>0</v>
      </c>
      <c r="N98" s="60">
        <f t="shared" si="8"/>
        <v>0</v>
      </c>
      <c r="O98" s="60">
        <f t="shared" si="8"/>
        <v>0</v>
      </c>
      <c r="P98" s="60" t="str">
        <f t="shared" si="8"/>
        <v/>
      </c>
    </row>
    <row r="99" spans="12:16" hidden="1">
      <c r="L99" s="60">
        <f t="shared" si="8"/>
        <v>0</v>
      </c>
      <c r="M99" s="60">
        <f t="shared" si="8"/>
        <v>0</v>
      </c>
      <c r="N99" s="60">
        <f t="shared" si="8"/>
        <v>0</v>
      </c>
      <c r="O99" s="60">
        <f t="shared" si="8"/>
        <v>0</v>
      </c>
      <c r="P99" s="60" t="str">
        <f t="shared" si="8"/>
        <v/>
      </c>
    </row>
    <row r="100" spans="12:16" hidden="1">
      <c r="L100" s="60">
        <f t="shared" si="7"/>
        <v>0</v>
      </c>
      <c r="M100" s="60">
        <f t="shared" si="7"/>
        <v>0</v>
      </c>
      <c r="N100" s="60">
        <f t="shared" si="7"/>
        <v>0</v>
      </c>
      <c r="O100" s="60">
        <f t="shared" si="7"/>
        <v>0</v>
      </c>
      <c r="P100" s="60" t="str">
        <f t="shared" si="7"/>
        <v/>
      </c>
    </row>
    <row r="101" spans="12:16" hidden="1">
      <c r="L101" s="60">
        <f t="shared" si="7"/>
        <v>0</v>
      </c>
      <c r="M101" s="60">
        <f t="shared" si="7"/>
        <v>0</v>
      </c>
      <c r="N101" s="60">
        <f t="shared" si="7"/>
        <v>0</v>
      </c>
      <c r="O101" s="60">
        <f t="shared" si="7"/>
        <v>0</v>
      </c>
      <c r="P101" s="60" t="str">
        <f t="shared" si="7"/>
        <v/>
      </c>
    </row>
    <row r="102" spans="12:16" hidden="1">
      <c r="L102" s="60">
        <f t="shared" si="7"/>
        <v>0</v>
      </c>
      <c r="M102" s="60">
        <f t="shared" si="7"/>
        <v>0</v>
      </c>
      <c r="N102" s="60">
        <f t="shared" si="7"/>
        <v>0</v>
      </c>
      <c r="O102" s="60">
        <f t="shared" si="7"/>
        <v>0</v>
      </c>
      <c r="P102" s="60" t="str">
        <f t="shared" si="7"/>
        <v/>
      </c>
    </row>
    <row r="103" spans="12:16" hidden="1">
      <c r="L103" s="60">
        <f t="shared" si="7"/>
        <v>0</v>
      </c>
      <c r="M103" s="60">
        <f t="shared" si="7"/>
        <v>0</v>
      </c>
      <c r="N103" s="60">
        <f t="shared" si="7"/>
        <v>0</v>
      </c>
      <c r="O103" s="60">
        <f t="shared" si="7"/>
        <v>0</v>
      </c>
      <c r="P103" s="60" t="str">
        <f t="shared" si="7"/>
        <v/>
      </c>
    </row>
    <row r="104" spans="12:16" hidden="1">
      <c r="L104" s="60">
        <f t="shared" si="7"/>
        <v>0</v>
      </c>
      <c r="M104" s="60">
        <f t="shared" si="7"/>
        <v>0</v>
      </c>
      <c r="N104" s="60">
        <f t="shared" si="7"/>
        <v>0</v>
      </c>
      <c r="O104" s="60">
        <f t="shared" si="7"/>
        <v>0</v>
      </c>
      <c r="P104" s="60" t="str">
        <f t="shared" si="7"/>
        <v/>
      </c>
    </row>
    <row r="105" spans="12:16" hidden="1">
      <c r="L105" s="60">
        <f t="shared" si="7"/>
        <v>0</v>
      </c>
      <c r="M105" s="60">
        <f t="shared" si="7"/>
        <v>0</v>
      </c>
      <c r="N105" s="60">
        <f t="shared" si="7"/>
        <v>0</v>
      </c>
      <c r="O105" s="60">
        <f t="shared" si="7"/>
        <v>0</v>
      </c>
      <c r="P105" s="60" t="str">
        <f t="shared" si="7"/>
        <v/>
      </c>
    </row>
    <row r="106" spans="12:16" hidden="1">
      <c r="L106" s="60">
        <f t="shared" si="7"/>
        <v>0</v>
      </c>
      <c r="M106" s="60">
        <f t="shared" si="7"/>
        <v>0</v>
      </c>
      <c r="N106" s="60">
        <f t="shared" si="7"/>
        <v>0</v>
      </c>
      <c r="O106" s="60">
        <f t="shared" si="7"/>
        <v>0</v>
      </c>
      <c r="P106" s="60" t="str">
        <f t="shared" si="7"/>
        <v/>
      </c>
    </row>
    <row r="107" spans="12:16" hidden="1">
      <c r="L107" s="60">
        <f t="shared" si="7"/>
        <v>0</v>
      </c>
      <c r="M107" s="60">
        <f t="shared" si="7"/>
        <v>0</v>
      </c>
      <c r="N107" s="60">
        <f t="shared" si="7"/>
        <v>0</v>
      </c>
      <c r="O107" s="60">
        <f t="shared" si="7"/>
        <v>0</v>
      </c>
      <c r="P107" s="60" t="str">
        <f t="shared" si="7"/>
        <v/>
      </c>
    </row>
    <row r="108" spans="12:16" hidden="1">
      <c r="L108" s="60">
        <f t="shared" si="7"/>
        <v>0</v>
      </c>
      <c r="M108" s="60">
        <f t="shared" si="7"/>
        <v>0</v>
      </c>
      <c r="N108" s="60">
        <f t="shared" si="7"/>
        <v>0</v>
      </c>
      <c r="O108" s="60">
        <f t="shared" si="7"/>
        <v>0</v>
      </c>
      <c r="P108" s="60" t="str">
        <f t="shared" si="7"/>
        <v/>
      </c>
    </row>
    <row r="109" spans="12:16" hidden="1">
      <c r="L109" s="60">
        <f t="shared" si="7"/>
        <v>0</v>
      </c>
      <c r="M109" s="60">
        <f t="shared" si="7"/>
        <v>0</v>
      </c>
      <c r="N109" s="60">
        <f t="shared" si="7"/>
        <v>0</v>
      </c>
      <c r="O109" s="60">
        <f t="shared" si="7"/>
        <v>0</v>
      </c>
      <c r="P109" s="60" t="str">
        <f t="shared" si="7"/>
        <v/>
      </c>
    </row>
    <row r="110" spans="12:16" hidden="1">
      <c r="L110" s="60">
        <f t="shared" si="7"/>
        <v>0</v>
      </c>
      <c r="M110" s="60">
        <f t="shared" si="7"/>
        <v>0</v>
      </c>
      <c r="N110" s="60">
        <f t="shared" si="7"/>
        <v>0</v>
      </c>
      <c r="O110" s="60">
        <f t="shared" ref="L110:P152" si="9">IF(O$3="","",IF(AND(O$3&lt;$K110,O$3&gt;=$J110),1,0))</f>
        <v>0</v>
      </c>
      <c r="P110" s="60" t="str">
        <f t="shared" si="9"/>
        <v/>
      </c>
    </row>
    <row r="111" spans="12:16" hidden="1">
      <c r="L111" s="60">
        <f t="shared" si="9"/>
        <v>0</v>
      </c>
      <c r="M111" s="60">
        <f t="shared" si="9"/>
        <v>0</v>
      </c>
      <c r="N111" s="60">
        <f t="shared" si="9"/>
        <v>0</v>
      </c>
      <c r="O111" s="60">
        <f t="shared" si="9"/>
        <v>0</v>
      </c>
      <c r="P111" s="60" t="str">
        <f t="shared" si="9"/>
        <v/>
      </c>
    </row>
    <row r="112" spans="12:16" hidden="1">
      <c r="L112" s="60">
        <f t="shared" si="9"/>
        <v>0</v>
      </c>
      <c r="M112" s="60">
        <f t="shared" si="9"/>
        <v>0</v>
      </c>
      <c r="N112" s="60">
        <f t="shared" si="9"/>
        <v>0</v>
      </c>
      <c r="O112" s="60">
        <f t="shared" si="9"/>
        <v>0</v>
      </c>
      <c r="P112" s="60" t="str">
        <f t="shared" si="9"/>
        <v/>
      </c>
    </row>
    <row r="113" spans="12:16" hidden="1">
      <c r="L113" s="60">
        <f t="shared" si="9"/>
        <v>0</v>
      </c>
      <c r="M113" s="60">
        <f t="shared" si="9"/>
        <v>0</v>
      </c>
      <c r="N113" s="60">
        <f t="shared" si="9"/>
        <v>0</v>
      </c>
      <c r="O113" s="60">
        <f t="shared" si="9"/>
        <v>0</v>
      </c>
      <c r="P113" s="60" t="str">
        <f t="shared" si="9"/>
        <v/>
      </c>
    </row>
    <row r="114" spans="12:16" hidden="1">
      <c r="L114" s="60">
        <f t="shared" si="9"/>
        <v>0</v>
      </c>
      <c r="M114" s="60">
        <f t="shared" si="9"/>
        <v>0</v>
      </c>
      <c r="N114" s="60">
        <f t="shared" si="9"/>
        <v>0</v>
      </c>
      <c r="O114" s="60">
        <f t="shared" si="9"/>
        <v>0</v>
      </c>
      <c r="P114" s="60" t="str">
        <f t="shared" si="9"/>
        <v/>
      </c>
    </row>
    <row r="115" spans="12:16" hidden="1">
      <c r="L115" s="60">
        <f t="shared" si="9"/>
        <v>0</v>
      </c>
      <c r="M115" s="60">
        <f t="shared" si="9"/>
        <v>0</v>
      </c>
      <c r="N115" s="60">
        <f t="shared" si="9"/>
        <v>0</v>
      </c>
      <c r="O115" s="60">
        <f t="shared" si="9"/>
        <v>0</v>
      </c>
      <c r="P115" s="60" t="str">
        <f t="shared" si="9"/>
        <v/>
      </c>
    </row>
    <row r="116" spans="12:16" hidden="1">
      <c r="L116" s="60">
        <f t="shared" si="9"/>
        <v>0</v>
      </c>
      <c r="M116" s="60">
        <f t="shared" si="9"/>
        <v>0</v>
      </c>
      <c r="N116" s="60">
        <f t="shared" si="9"/>
        <v>0</v>
      </c>
      <c r="O116" s="60">
        <f t="shared" si="9"/>
        <v>0</v>
      </c>
      <c r="P116" s="60" t="str">
        <f t="shared" si="9"/>
        <v/>
      </c>
    </row>
    <row r="117" spans="12:16" hidden="1">
      <c r="L117" s="60">
        <f t="shared" si="9"/>
        <v>0</v>
      </c>
      <c r="M117" s="60">
        <f t="shared" si="9"/>
        <v>0</v>
      </c>
      <c r="N117" s="60">
        <f t="shared" si="9"/>
        <v>0</v>
      </c>
      <c r="O117" s="60">
        <f t="shared" si="9"/>
        <v>0</v>
      </c>
      <c r="P117" s="60" t="str">
        <f t="shared" si="9"/>
        <v/>
      </c>
    </row>
    <row r="118" spans="12:16" hidden="1">
      <c r="L118" s="60">
        <f t="shared" si="9"/>
        <v>0</v>
      </c>
      <c r="M118" s="60">
        <f t="shared" si="9"/>
        <v>0</v>
      </c>
      <c r="N118" s="60">
        <f t="shared" si="9"/>
        <v>0</v>
      </c>
      <c r="O118" s="60">
        <f t="shared" si="9"/>
        <v>0</v>
      </c>
      <c r="P118" s="60" t="str">
        <f t="shared" si="9"/>
        <v/>
      </c>
    </row>
    <row r="119" spans="12:16" hidden="1">
      <c r="L119" s="60">
        <f t="shared" si="9"/>
        <v>0</v>
      </c>
      <c r="M119" s="60">
        <f t="shared" si="9"/>
        <v>0</v>
      </c>
      <c r="N119" s="60">
        <f t="shared" si="9"/>
        <v>0</v>
      </c>
      <c r="O119" s="60">
        <f t="shared" si="9"/>
        <v>0</v>
      </c>
      <c r="P119" s="60" t="str">
        <f t="shared" si="9"/>
        <v/>
      </c>
    </row>
    <row r="120" spans="12:16" hidden="1">
      <c r="L120" s="60">
        <f t="shared" si="9"/>
        <v>0</v>
      </c>
      <c r="M120" s="60">
        <f t="shared" si="9"/>
        <v>0</v>
      </c>
      <c r="N120" s="60">
        <f t="shared" si="9"/>
        <v>0</v>
      </c>
      <c r="O120" s="60">
        <f t="shared" si="9"/>
        <v>0</v>
      </c>
      <c r="P120" s="60" t="str">
        <f t="shared" si="9"/>
        <v/>
      </c>
    </row>
    <row r="121" spans="12:16" hidden="1">
      <c r="L121" s="60">
        <f t="shared" si="9"/>
        <v>0</v>
      </c>
      <c r="M121" s="60">
        <f t="shared" si="9"/>
        <v>0</v>
      </c>
      <c r="N121" s="60">
        <f t="shared" si="9"/>
        <v>0</v>
      </c>
      <c r="O121" s="60">
        <f t="shared" si="9"/>
        <v>0</v>
      </c>
      <c r="P121" s="60" t="str">
        <f t="shared" si="9"/>
        <v/>
      </c>
    </row>
    <row r="122" spans="12:16" hidden="1">
      <c r="L122" s="60">
        <f t="shared" si="9"/>
        <v>0</v>
      </c>
      <c r="M122" s="60">
        <f t="shared" si="9"/>
        <v>0</v>
      </c>
      <c r="N122" s="60">
        <f t="shared" si="9"/>
        <v>0</v>
      </c>
      <c r="O122" s="60">
        <f t="shared" si="9"/>
        <v>0</v>
      </c>
      <c r="P122" s="60" t="str">
        <f t="shared" si="9"/>
        <v/>
      </c>
    </row>
    <row r="123" spans="12:16" hidden="1">
      <c r="L123" s="60">
        <f t="shared" si="9"/>
        <v>0</v>
      </c>
      <c r="M123" s="60">
        <f t="shared" si="9"/>
        <v>0</v>
      </c>
      <c r="N123" s="60">
        <f t="shared" si="9"/>
        <v>0</v>
      </c>
      <c r="O123" s="60">
        <f t="shared" si="9"/>
        <v>0</v>
      </c>
      <c r="P123" s="60" t="str">
        <f t="shared" si="9"/>
        <v/>
      </c>
    </row>
    <row r="124" spans="12:16" hidden="1">
      <c r="L124" s="60">
        <f t="shared" si="9"/>
        <v>0</v>
      </c>
      <c r="M124" s="60">
        <f t="shared" si="9"/>
        <v>0</v>
      </c>
      <c r="N124" s="60">
        <f t="shared" si="9"/>
        <v>0</v>
      </c>
      <c r="O124" s="60">
        <f t="shared" si="9"/>
        <v>0</v>
      </c>
      <c r="P124" s="60" t="str">
        <f t="shared" si="9"/>
        <v/>
      </c>
    </row>
    <row r="125" spans="12:16" hidden="1">
      <c r="L125" s="60">
        <f t="shared" si="9"/>
        <v>0</v>
      </c>
      <c r="M125" s="60">
        <f t="shared" si="9"/>
        <v>0</v>
      </c>
      <c r="N125" s="60">
        <f t="shared" si="9"/>
        <v>0</v>
      </c>
      <c r="O125" s="60">
        <f t="shared" si="9"/>
        <v>0</v>
      </c>
      <c r="P125" s="60" t="str">
        <f t="shared" si="9"/>
        <v/>
      </c>
    </row>
    <row r="126" spans="12:16" hidden="1">
      <c r="L126" s="60">
        <f t="shared" si="9"/>
        <v>0</v>
      </c>
      <c r="M126" s="60">
        <f t="shared" si="9"/>
        <v>0</v>
      </c>
      <c r="N126" s="60">
        <f t="shared" si="9"/>
        <v>0</v>
      </c>
      <c r="O126" s="60">
        <f t="shared" si="9"/>
        <v>0</v>
      </c>
      <c r="P126" s="60" t="str">
        <f t="shared" si="9"/>
        <v/>
      </c>
    </row>
    <row r="127" spans="12:16" hidden="1">
      <c r="L127" s="60">
        <f t="shared" si="9"/>
        <v>0</v>
      </c>
      <c r="M127" s="60">
        <f t="shared" si="9"/>
        <v>0</v>
      </c>
      <c r="N127" s="60">
        <f t="shared" si="9"/>
        <v>0</v>
      </c>
      <c r="O127" s="60">
        <f t="shared" si="9"/>
        <v>0</v>
      </c>
      <c r="P127" s="60" t="str">
        <f t="shared" si="9"/>
        <v/>
      </c>
    </row>
    <row r="128" spans="12:16" hidden="1">
      <c r="L128" s="60">
        <f t="shared" si="9"/>
        <v>0</v>
      </c>
      <c r="M128" s="60">
        <f t="shared" si="9"/>
        <v>0</v>
      </c>
      <c r="N128" s="60">
        <f t="shared" si="9"/>
        <v>0</v>
      </c>
      <c r="O128" s="60">
        <f t="shared" si="9"/>
        <v>0</v>
      </c>
      <c r="P128" s="60" t="str">
        <f t="shared" si="9"/>
        <v/>
      </c>
    </row>
    <row r="129" spans="12:16" hidden="1">
      <c r="L129" s="60">
        <f t="shared" si="9"/>
        <v>0</v>
      </c>
      <c r="M129" s="60">
        <f t="shared" si="9"/>
        <v>0</v>
      </c>
      <c r="N129" s="60">
        <f t="shared" si="9"/>
        <v>0</v>
      </c>
      <c r="O129" s="60">
        <f t="shared" si="9"/>
        <v>0</v>
      </c>
      <c r="P129" s="60" t="str">
        <f t="shared" si="9"/>
        <v/>
      </c>
    </row>
    <row r="130" spans="12:16" hidden="1">
      <c r="L130" s="60">
        <f t="shared" si="9"/>
        <v>0</v>
      </c>
      <c r="M130" s="60">
        <f t="shared" si="9"/>
        <v>0</v>
      </c>
      <c r="N130" s="60">
        <f t="shared" si="9"/>
        <v>0</v>
      </c>
      <c r="O130" s="60">
        <f t="shared" si="9"/>
        <v>0</v>
      </c>
      <c r="P130" s="60" t="str">
        <f t="shared" si="9"/>
        <v/>
      </c>
    </row>
    <row r="131" spans="12:16" hidden="1">
      <c r="L131" s="60">
        <f t="shared" si="9"/>
        <v>0</v>
      </c>
      <c r="M131" s="60">
        <f t="shared" si="9"/>
        <v>0</v>
      </c>
      <c r="N131" s="60">
        <f t="shared" si="9"/>
        <v>0</v>
      </c>
      <c r="O131" s="60">
        <f t="shared" si="9"/>
        <v>0</v>
      </c>
      <c r="P131" s="60" t="str">
        <f t="shared" si="9"/>
        <v/>
      </c>
    </row>
    <row r="132" spans="12:16" hidden="1">
      <c r="L132" s="60">
        <f t="shared" si="9"/>
        <v>0</v>
      </c>
      <c r="M132" s="60">
        <f t="shared" si="9"/>
        <v>0</v>
      </c>
      <c r="N132" s="60">
        <f t="shared" si="9"/>
        <v>0</v>
      </c>
      <c r="O132" s="60">
        <f t="shared" si="9"/>
        <v>0</v>
      </c>
      <c r="P132" s="60" t="str">
        <f t="shared" si="9"/>
        <v/>
      </c>
    </row>
    <row r="133" spans="12:16" hidden="1">
      <c r="L133" s="60">
        <f t="shared" si="9"/>
        <v>0</v>
      </c>
      <c r="M133" s="60">
        <f t="shared" si="9"/>
        <v>0</v>
      </c>
      <c r="N133" s="60">
        <f t="shared" si="9"/>
        <v>0</v>
      </c>
      <c r="O133" s="60">
        <f t="shared" si="9"/>
        <v>0</v>
      </c>
      <c r="P133" s="60" t="str">
        <f t="shared" si="9"/>
        <v/>
      </c>
    </row>
    <row r="134" spans="12:16" hidden="1">
      <c r="L134" s="60">
        <f t="shared" si="9"/>
        <v>0</v>
      </c>
      <c r="M134" s="60">
        <f t="shared" si="9"/>
        <v>0</v>
      </c>
      <c r="N134" s="60">
        <f t="shared" si="9"/>
        <v>0</v>
      </c>
      <c r="O134" s="60">
        <f t="shared" si="9"/>
        <v>0</v>
      </c>
      <c r="P134" s="60" t="str">
        <f t="shared" si="9"/>
        <v/>
      </c>
    </row>
    <row r="135" spans="12:16" hidden="1">
      <c r="L135" s="60">
        <f t="shared" si="9"/>
        <v>0</v>
      </c>
      <c r="M135" s="60">
        <f t="shared" si="9"/>
        <v>0</v>
      </c>
      <c r="N135" s="60">
        <f t="shared" si="9"/>
        <v>0</v>
      </c>
      <c r="O135" s="60">
        <f t="shared" si="9"/>
        <v>0</v>
      </c>
      <c r="P135" s="60" t="str">
        <f t="shared" si="9"/>
        <v/>
      </c>
    </row>
    <row r="136" spans="12:16" hidden="1">
      <c r="L136" s="60">
        <f t="shared" si="9"/>
        <v>0</v>
      </c>
      <c r="M136" s="60">
        <f t="shared" si="9"/>
        <v>0</v>
      </c>
      <c r="N136" s="60">
        <f t="shared" si="9"/>
        <v>0</v>
      </c>
      <c r="O136" s="60">
        <f t="shared" si="9"/>
        <v>0</v>
      </c>
      <c r="P136" s="60" t="str">
        <f t="shared" si="9"/>
        <v/>
      </c>
    </row>
    <row r="137" spans="12:16" hidden="1">
      <c r="L137" s="60">
        <f t="shared" si="9"/>
        <v>0</v>
      </c>
      <c r="M137" s="60">
        <f t="shared" si="9"/>
        <v>0</v>
      </c>
      <c r="N137" s="60">
        <f t="shared" si="9"/>
        <v>0</v>
      </c>
      <c r="O137" s="60">
        <f t="shared" si="9"/>
        <v>0</v>
      </c>
      <c r="P137" s="60" t="str">
        <f t="shared" si="9"/>
        <v/>
      </c>
    </row>
    <row r="138" spans="12:16" hidden="1">
      <c r="L138" s="60">
        <f t="shared" si="9"/>
        <v>0</v>
      </c>
      <c r="M138" s="60">
        <f t="shared" si="9"/>
        <v>0</v>
      </c>
      <c r="N138" s="60">
        <f t="shared" si="9"/>
        <v>0</v>
      </c>
      <c r="O138" s="60">
        <f t="shared" si="9"/>
        <v>0</v>
      </c>
      <c r="P138" s="60" t="str">
        <f t="shared" si="9"/>
        <v/>
      </c>
    </row>
    <row r="139" spans="12:16" hidden="1">
      <c r="L139" s="60">
        <f t="shared" si="9"/>
        <v>0</v>
      </c>
      <c r="M139" s="60">
        <f t="shared" si="9"/>
        <v>0</v>
      </c>
      <c r="N139" s="60">
        <f t="shared" si="9"/>
        <v>0</v>
      </c>
      <c r="O139" s="60">
        <f t="shared" si="9"/>
        <v>0</v>
      </c>
      <c r="P139" s="60" t="str">
        <f t="shared" si="9"/>
        <v/>
      </c>
    </row>
    <row r="140" spans="12:16" hidden="1">
      <c r="L140" s="60">
        <f t="shared" si="9"/>
        <v>0</v>
      </c>
      <c r="M140" s="60">
        <f t="shared" si="9"/>
        <v>0</v>
      </c>
      <c r="N140" s="60">
        <f t="shared" si="9"/>
        <v>0</v>
      </c>
      <c r="O140" s="60">
        <f t="shared" si="9"/>
        <v>0</v>
      </c>
      <c r="P140" s="60" t="str">
        <f t="shared" si="9"/>
        <v/>
      </c>
    </row>
    <row r="141" spans="12:16" hidden="1">
      <c r="L141" s="60">
        <f t="shared" si="9"/>
        <v>0</v>
      </c>
      <c r="M141" s="60">
        <f t="shared" si="9"/>
        <v>0</v>
      </c>
      <c r="N141" s="60">
        <f t="shared" si="9"/>
        <v>0</v>
      </c>
      <c r="O141" s="60">
        <f t="shared" si="9"/>
        <v>0</v>
      </c>
      <c r="P141" s="60" t="str">
        <f t="shared" si="9"/>
        <v/>
      </c>
    </row>
    <row r="142" spans="12:16" hidden="1">
      <c r="L142" s="60">
        <f t="shared" si="9"/>
        <v>0</v>
      </c>
      <c r="M142" s="60">
        <f t="shared" si="9"/>
        <v>0</v>
      </c>
      <c r="N142" s="60">
        <f t="shared" si="9"/>
        <v>0</v>
      </c>
      <c r="O142" s="60">
        <f t="shared" si="9"/>
        <v>0</v>
      </c>
      <c r="P142" s="60" t="str">
        <f t="shared" si="9"/>
        <v/>
      </c>
    </row>
    <row r="143" spans="12:16" hidden="1">
      <c r="L143" s="60">
        <f t="shared" si="9"/>
        <v>0</v>
      </c>
      <c r="M143" s="60">
        <f t="shared" si="9"/>
        <v>0</v>
      </c>
      <c r="N143" s="60">
        <f t="shared" si="9"/>
        <v>0</v>
      </c>
      <c r="O143" s="60">
        <f t="shared" si="9"/>
        <v>0</v>
      </c>
      <c r="P143" s="60" t="str">
        <f t="shared" si="9"/>
        <v/>
      </c>
    </row>
    <row r="144" spans="12:16" hidden="1">
      <c r="L144" s="60">
        <f t="shared" si="9"/>
        <v>0</v>
      </c>
      <c r="M144" s="60">
        <f t="shared" si="9"/>
        <v>0</v>
      </c>
      <c r="N144" s="60">
        <f t="shared" si="9"/>
        <v>0</v>
      </c>
      <c r="O144" s="60">
        <f t="shared" si="9"/>
        <v>0</v>
      </c>
      <c r="P144" s="60" t="str">
        <f t="shared" si="9"/>
        <v/>
      </c>
    </row>
    <row r="145" spans="12:16" hidden="1">
      <c r="L145" s="60">
        <f t="shared" si="9"/>
        <v>0</v>
      </c>
      <c r="M145" s="60">
        <f t="shared" si="9"/>
        <v>0</v>
      </c>
      <c r="N145" s="60">
        <f t="shared" si="9"/>
        <v>0</v>
      </c>
      <c r="O145" s="60">
        <f t="shared" si="9"/>
        <v>0</v>
      </c>
      <c r="P145" s="60" t="str">
        <f t="shared" si="9"/>
        <v/>
      </c>
    </row>
    <row r="146" spans="12:16" hidden="1">
      <c r="L146" s="60">
        <f t="shared" si="9"/>
        <v>0</v>
      </c>
      <c r="M146" s="60">
        <f t="shared" si="9"/>
        <v>0</v>
      </c>
      <c r="N146" s="60">
        <f t="shared" si="9"/>
        <v>0</v>
      </c>
      <c r="O146" s="60">
        <f t="shared" si="9"/>
        <v>0</v>
      </c>
      <c r="P146" s="60" t="str">
        <f t="shared" si="9"/>
        <v/>
      </c>
    </row>
    <row r="147" spans="12:16" hidden="1">
      <c r="L147" s="60">
        <f t="shared" si="9"/>
        <v>0</v>
      </c>
      <c r="M147" s="60">
        <f t="shared" si="9"/>
        <v>0</v>
      </c>
      <c r="N147" s="60">
        <f t="shared" si="9"/>
        <v>0</v>
      </c>
      <c r="O147" s="60">
        <f t="shared" si="9"/>
        <v>0</v>
      </c>
      <c r="P147" s="60" t="str">
        <f t="shared" si="9"/>
        <v/>
      </c>
    </row>
    <row r="148" spans="12:16" hidden="1">
      <c r="L148" s="60">
        <f t="shared" si="9"/>
        <v>0</v>
      </c>
      <c r="M148" s="60">
        <f t="shared" si="9"/>
        <v>0</v>
      </c>
      <c r="N148" s="60">
        <f t="shared" si="9"/>
        <v>0</v>
      </c>
      <c r="O148" s="60">
        <f t="shared" si="9"/>
        <v>0</v>
      </c>
      <c r="P148" s="60" t="str">
        <f t="shared" si="9"/>
        <v/>
      </c>
    </row>
    <row r="149" spans="12:16" hidden="1">
      <c r="L149" s="60">
        <f t="shared" si="9"/>
        <v>0</v>
      </c>
      <c r="M149" s="60">
        <f t="shared" si="9"/>
        <v>0</v>
      </c>
      <c r="N149" s="60">
        <f t="shared" si="9"/>
        <v>0</v>
      </c>
      <c r="O149" s="60">
        <f t="shared" si="9"/>
        <v>0</v>
      </c>
      <c r="P149" s="60" t="str">
        <f t="shared" si="9"/>
        <v/>
      </c>
    </row>
    <row r="150" spans="12:16" hidden="1">
      <c r="L150" s="60">
        <f t="shared" si="9"/>
        <v>0</v>
      </c>
      <c r="M150" s="60">
        <f t="shared" si="9"/>
        <v>0</v>
      </c>
      <c r="N150" s="60">
        <f t="shared" si="9"/>
        <v>0</v>
      </c>
      <c r="O150" s="60">
        <f t="shared" si="9"/>
        <v>0</v>
      </c>
      <c r="P150" s="60" t="str">
        <f t="shared" si="9"/>
        <v/>
      </c>
    </row>
    <row r="151" spans="12:16" hidden="1">
      <c r="L151" s="60">
        <f t="shared" si="9"/>
        <v>0</v>
      </c>
      <c r="M151" s="60">
        <f t="shared" si="9"/>
        <v>0</v>
      </c>
      <c r="N151" s="60">
        <f t="shared" si="9"/>
        <v>0</v>
      </c>
      <c r="O151" s="60">
        <f t="shared" si="9"/>
        <v>0</v>
      </c>
      <c r="P151" s="60" t="str">
        <f t="shared" si="9"/>
        <v/>
      </c>
    </row>
    <row r="152" spans="12:16" hidden="1">
      <c r="L152" s="60">
        <f t="shared" si="9"/>
        <v>0</v>
      </c>
      <c r="M152" s="60">
        <f t="shared" si="9"/>
        <v>0</v>
      </c>
      <c r="N152" s="60">
        <f t="shared" si="9"/>
        <v>0</v>
      </c>
      <c r="O152" s="60">
        <f t="shared" si="9"/>
        <v>0</v>
      </c>
      <c r="P152" s="60" t="str">
        <f t="shared" si="9"/>
        <v/>
      </c>
    </row>
    <row r="153" spans="12:16" hidden="1">
      <c r="L153" s="60">
        <f t="shared" ref="L153:P195" si="10">IF(L$3="","",IF(AND(L$3&lt;$K153,L$3&gt;=$J153),1,0))</f>
        <v>0</v>
      </c>
      <c r="M153" s="60">
        <f t="shared" si="10"/>
        <v>0</v>
      </c>
      <c r="N153" s="60">
        <f t="shared" si="10"/>
        <v>0</v>
      </c>
      <c r="O153" s="60">
        <f t="shared" si="10"/>
        <v>0</v>
      </c>
      <c r="P153" s="60" t="str">
        <f t="shared" si="10"/>
        <v/>
      </c>
    </row>
    <row r="154" spans="12:16" hidden="1">
      <c r="L154" s="60">
        <f t="shared" si="10"/>
        <v>0</v>
      </c>
      <c r="M154" s="60">
        <f t="shared" si="10"/>
        <v>0</v>
      </c>
      <c r="N154" s="60">
        <f t="shared" si="10"/>
        <v>0</v>
      </c>
      <c r="O154" s="60">
        <f t="shared" si="10"/>
        <v>0</v>
      </c>
      <c r="P154" s="60" t="str">
        <f t="shared" si="10"/>
        <v/>
      </c>
    </row>
    <row r="155" spans="12:16" hidden="1">
      <c r="L155" s="60">
        <f t="shared" si="10"/>
        <v>0</v>
      </c>
      <c r="M155" s="60">
        <f t="shared" si="10"/>
        <v>0</v>
      </c>
      <c r="N155" s="60">
        <f t="shared" si="10"/>
        <v>0</v>
      </c>
      <c r="O155" s="60">
        <f t="shared" si="10"/>
        <v>0</v>
      </c>
      <c r="P155" s="60" t="str">
        <f t="shared" si="10"/>
        <v/>
      </c>
    </row>
    <row r="156" spans="12:16" hidden="1">
      <c r="L156" s="60">
        <f t="shared" si="10"/>
        <v>0</v>
      </c>
      <c r="M156" s="60">
        <f t="shared" si="10"/>
        <v>0</v>
      </c>
      <c r="N156" s="60">
        <f t="shared" si="10"/>
        <v>0</v>
      </c>
      <c r="O156" s="60">
        <f t="shared" si="10"/>
        <v>0</v>
      </c>
      <c r="P156" s="60" t="str">
        <f t="shared" si="10"/>
        <v/>
      </c>
    </row>
    <row r="157" spans="12:16" hidden="1">
      <c r="L157" s="60">
        <f t="shared" si="10"/>
        <v>0</v>
      </c>
      <c r="M157" s="60">
        <f t="shared" si="10"/>
        <v>0</v>
      </c>
      <c r="N157" s="60">
        <f t="shared" si="10"/>
        <v>0</v>
      </c>
      <c r="O157" s="60">
        <f t="shared" si="10"/>
        <v>0</v>
      </c>
      <c r="P157" s="60" t="str">
        <f t="shared" si="10"/>
        <v/>
      </c>
    </row>
    <row r="158" spans="12:16" hidden="1">
      <c r="L158" s="60">
        <f t="shared" si="10"/>
        <v>0</v>
      </c>
      <c r="M158" s="60">
        <f t="shared" si="10"/>
        <v>0</v>
      </c>
      <c r="N158" s="60">
        <f t="shared" si="10"/>
        <v>0</v>
      </c>
      <c r="O158" s="60">
        <f t="shared" si="10"/>
        <v>0</v>
      </c>
      <c r="P158" s="60" t="str">
        <f t="shared" si="10"/>
        <v/>
      </c>
    </row>
    <row r="159" spans="12:16" hidden="1">
      <c r="L159" s="60">
        <f t="shared" si="10"/>
        <v>0</v>
      </c>
      <c r="M159" s="60">
        <f t="shared" si="10"/>
        <v>0</v>
      </c>
      <c r="N159" s="60">
        <f t="shared" si="10"/>
        <v>0</v>
      </c>
      <c r="O159" s="60">
        <f t="shared" si="10"/>
        <v>0</v>
      </c>
      <c r="P159" s="60" t="str">
        <f t="shared" si="10"/>
        <v/>
      </c>
    </row>
    <row r="160" spans="12:16" hidden="1">
      <c r="L160" s="60">
        <f t="shared" si="10"/>
        <v>0</v>
      </c>
      <c r="M160" s="60">
        <f t="shared" si="10"/>
        <v>0</v>
      </c>
      <c r="N160" s="60">
        <f t="shared" si="10"/>
        <v>0</v>
      </c>
      <c r="O160" s="60">
        <f t="shared" si="10"/>
        <v>0</v>
      </c>
      <c r="P160" s="60" t="str">
        <f t="shared" si="10"/>
        <v/>
      </c>
    </row>
    <row r="161" spans="12:16" hidden="1">
      <c r="L161" s="60">
        <f t="shared" si="10"/>
        <v>0</v>
      </c>
      <c r="M161" s="60">
        <f t="shared" si="10"/>
        <v>0</v>
      </c>
      <c r="N161" s="60">
        <f t="shared" si="10"/>
        <v>0</v>
      </c>
      <c r="O161" s="60">
        <f t="shared" si="10"/>
        <v>0</v>
      </c>
      <c r="P161" s="60" t="str">
        <f t="shared" si="10"/>
        <v/>
      </c>
    </row>
    <row r="162" spans="12:16" hidden="1">
      <c r="L162" s="60">
        <f t="shared" si="10"/>
        <v>0</v>
      </c>
      <c r="M162" s="60">
        <f t="shared" si="10"/>
        <v>0</v>
      </c>
      <c r="N162" s="60">
        <f t="shared" si="10"/>
        <v>0</v>
      </c>
      <c r="O162" s="60">
        <f t="shared" si="10"/>
        <v>0</v>
      </c>
      <c r="P162" s="60" t="str">
        <f t="shared" si="10"/>
        <v/>
      </c>
    </row>
    <row r="163" spans="12:16" hidden="1">
      <c r="L163" s="60">
        <f t="shared" si="10"/>
        <v>0</v>
      </c>
      <c r="M163" s="60">
        <f t="shared" si="10"/>
        <v>0</v>
      </c>
      <c r="N163" s="60">
        <f t="shared" si="10"/>
        <v>0</v>
      </c>
      <c r="O163" s="60">
        <f t="shared" si="10"/>
        <v>0</v>
      </c>
      <c r="P163" s="60" t="str">
        <f t="shared" si="10"/>
        <v/>
      </c>
    </row>
    <row r="164" spans="12:16" hidden="1">
      <c r="L164" s="60">
        <f t="shared" si="10"/>
        <v>0</v>
      </c>
      <c r="M164" s="60">
        <f t="shared" si="10"/>
        <v>0</v>
      </c>
      <c r="N164" s="60">
        <f t="shared" si="10"/>
        <v>0</v>
      </c>
      <c r="O164" s="60">
        <f t="shared" si="10"/>
        <v>0</v>
      </c>
      <c r="P164" s="60" t="str">
        <f t="shared" si="10"/>
        <v/>
      </c>
    </row>
    <row r="165" spans="12:16" hidden="1">
      <c r="L165" s="60">
        <f t="shared" si="10"/>
        <v>0</v>
      </c>
      <c r="M165" s="60">
        <f t="shared" si="10"/>
        <v>0</v>
      </c>
      <c r="N165" s="60">
        <f t="shared" si="10"/>
        <v>0</v>
      </c>
      <c r="O165" s="60">
        <f t="shared" si="10"/>
        <v>0</v>
      </c>
      <c r="P165" s="60" t="str">
        <f t="shared" si="10"/>
        <v/>
      </c>
    </row>
    <row r="166" spans="12:16" hidden="1">
      <c r="L166" s="60">
        <f t="shared" si="10"/>
        <v>0</v>
      </c>
      <c r="M166" s="60">
        <f t="shared" si="10"/>
        <v>0</v>
      </c>
      <c r="N166" s="60">
        <f t="shared" si="10"/>
        <v>0</v>
      </c>
      <c r="O166" s="60">
        <f t="shared" si="10"/>
        <v>0</v>
      </c>
      <c r="P166" s="60" t="str">
        <f t="shared" si="10"/>
        <v/>
      </c>
    </row>
    <row r="167" spans="12:16" hidden="1">
      <c r="L167" s="60">
        <f t="shared" si="10"/>
        <v>0</v>
      </c>
      <c r="M167" s="60">
        <f t="shared" si="10"/>
        <v>0</v>
      </c>
      <c r="N167" s="60">
        <f t="shared" si="10"/>
        <v>0</v>
      </c>
      <c r="O167" s="60">
        <f t="shared" si="10"/>
        <v>0</v>
      </c>
      <c r="P167" s="60" t="str">
        <f t="shared" si="10"/>
        <v/>
      </c>
    </row>
    <row r="168" spans="12:16" hidden="1">
      <c r="L168" s="60">
        <f t="shared" si="10"/>
        <v>0</v>
      </c>
      <c r="M168" s="60">
        <f t="shared" si="10"/>
        <v>0</v>
      </c>
      <c r="N168" s="60">
        <f t="shared" si="10"/>
        <v>0</v>
      </c>
      <c r="O168" s="60">
        <f t="shared" si="10"/>
        <v>0</v>
      </c>
      <c r="P168" s="60" t="str">
        <f t="shared" si="10"/>
        <v/>
      </c>
    </row>
    <row r="169" spans="12:16" hidden="1">
      <c r="L169" s="60">
        <f t="shared" si="10"/>
        <v>0</v>
      </c>
      <c r="M169" s="60">
        <f t="shared" si="10"/>
        <v>0</v>
      </c>
      <c r="N169" s="60">
        <f t="shared" si="10"/>
        <v>0</v>
      </c>
      <c r="O169" s="60">
        <f t="shared" si="10"/>
        <v>0</v>
      </c>
      <c r="P169" s="60" t="str">
        <f t="shared" si="10"/>
        <v/>
      </c>
    </row>
    <row r="170" spans="12:16" hidden="1">
      <c r="L170" s="60">
        <f t="shared" si="10"/>
        <v>0</v>
      </c>
      <c r="M170" s="60">
        <f t="shared" si="10"/>
        <v>0</v>
      </c>
      <c r="N170" s="60">
        <f t="shared" si="10"/>
        <v>0</v>
      </c>
      <c r="O170" s="60">
        <f t="shared" si="10"/>
        <v>0</v>
      </c>
      <c r="P170" s="60" t="str">
        <f t="shared" si="10"/>
        <v/>
      </c>
    </row>
    <row r="171" spans="12:16" hidden="1">
      <c r="L171" s="60">
        <f t="shared" si="10"/>
        <v>0</v>
      </c>
      <c r="M171" s="60">
        <f t="shared" si="10"/>
        <v>0</v>
      </c>
      <c r="N171" s="60">
        <f t="shared" si="10"/>
        <v>0</v>
      </c>
      <c r="O171" s="60">
        <f t="shared" si="10"/>
        <v>0</v>
      </c>
      <c r="P171" s="60" t="str">
        <f t="shared" si="10"/>
        <v/>
      </c>
    </row>
    <row r="172" spans="12:16" hidden="1">
      <c r="L172" s="60">
        <f t="shared" si="10"/>
        <v>0</v>
      </c>
      <c r="M172" s="60">
        <f t="shared" si="10"/>
        <v>0</v>
      </c>
      <c r="N172" s="60">
        <f t="shared" si="10"/>
        <v>0</v>
      </c>
      <c r="O172" s="60">
        <f t="shared" si="10"/>
        <v>0</v>
      </c>
      <c r="P172" s="60" t="str">
        <f t="shared" si="10"/>
        <v/>
      </c>
    </row>
    <row r="173" spans="12:16" hidden="1">
      <c r="L173" s="60">
        <f t="shared" si="10"/>
        <v>0</v>
      </c>
      <c r="M173" s="60">
        <f t="shared" si="10"/>
        <v>0</v>
      </c>
      <c r="N173" s="60">
        <f t="shared" si="10"/>
        <v>0</v>
      </c>
      <c r="O173" s="60">
        <f t="shared" si="10"/>
        <v>0</v>
      </c>
      <c r="P173" s="60" t="str">
        <f t="shared" si="10"/>
        <v/>
      </c>
    </row>
    <row r="174" spans="12:16" hidden="1">
      <c r="L174" s="60">
        <f t="shared" si="10"/>
        <v>0</v>
      </c>
      <c r="M174" s="60">
        <f t="shared" si="10"/>
        <v>0</v>
      </c>
      <c r="N174" s="60">
        <f t="shared" si="10"/>
        <v>0</v>
      </c>
      <c r="O174" s="60">
        <f t="shared" si="10"/>
        <v>0</v>
      </c>
      <c r="P174" s="60" t="str">
        <f t="shared" si="10"/>
        <v/>
      </c>
    </row>
    <row r="175" spans="12:16" hidden="1">
      <c r="L175" s="60">
        <f t="shared" si="10"/>
        <v>0</v>
      </c>
      <c r="M175" s="60">
        <f t="shared" si="10"/>
        <v>0</v>
      </c>
      <c r="N175" s="60">
        <f t="shared" si="10"/>
        <v>0</v>
      </c>
      <c r="O175" s="60">
        <f t="shared" si="10"/>
        <v>0</v>
      </c>
      <c r="P175" s="60" t="str">
        <f t="shared" si="10"/>
        <v/>
      </c>
    </row>
    <row r="176" spans="12:16" hidden="1">
      <c r="L176" s="60">
        <f t="shared" si="10"/>
        <v>0</v>
      </c>
      <c r="M176" s="60">
        <f t="shared" si="10"/>
        <v>0</v>
      </c>
      <c r="N176" s="60">
        <f t="shared" si="10"/>
        <v>0</v>
      </c>
      <c r="O176" s="60">
        <f t="shared" si="10"/>
        <v>0</v>
      </c>
      <c r="P176" s="60" t="str">
        <f t="shared" si="10"/>
        <v/>
      </c>
    </row>
    <row r="177" spans="12:16" hidden="1">
      <c r="L177" s="60">
        <f t="shared" si="10"/>
        <v>0</v>
      </c>
      <c r="M177" s="60">
        <f t="shared" si="10"/>
        <v>0</v>
      </c>
      <c r="N177" s="60">
        <f t="shared" si="10"/>
        <v>0</v>
      </c>
      <c r="O177" s="60">
        <f t="shared" si="10"/>
        <v>0</v>
      </c>
      <c r="P177" s="60" t="str">
        <f t="shared" si="10"/>
        <v/>
      </c>
    </row>
    <row r="178" spans="12:16" hidden="1">
      <c r="L178" s="60">
        <f t="shared" si="10"/>
        <v>0</v>
      </c>
      <c r="M178" s="60">
        <f t="shared" si="10"/>
        <v>0</v>
      </c>
      <c r="N178" s="60">
        <f t="shared" si="10"/>
        <v>0</v>
      </c>
      <c r="O178" s="60">
        <f t="shared" si="10"/>
        <v>0</v>
      </c>
      <c r="P178" s="60" t="str">
        <f t="shared" si="10"/>
        <v/>
      </c>
    </row>
    <row r="179" spans="12:16" hidden="1">
      <c r="L179" s="60">
        <f t="shared" si="10"/>
        <v>0</v>
      </c>
      <c r="M179" s="60">
        <f t="shared" si="10"/>
        <v>0</v>
      </c>
      <c r="N179" s="60">
        <f t="shared" si="10"/>
        <v>0</v>
      </c>
      <c r="O179" s="60">
        <f t="shared" si="10"/>
        <v>0</v>
      </c>
      <c r="P179" s="60" t="str">
        <f t="shared" si="10"/>
        <v/>
      </c>
    </row>
    <row r="180" spans="12:16" hidden="1">
      <c r="L180" s="60">
        <f t="shared" si="10"/>
        <v>0</v>
      </c>
      <c r="M180" s="60">
        <f t="shared" si="10"/>
        <v>0</v>
      </c>
      <c r="N180" s="60">
        <f t="shared" si="10"/>
        <v>0</v>
      </c>
      <c r="O180" s="60">
        <f t="shared" si="10"/>
        <v>0</v>
      </c>
      <c r="P180" s="60" t="str">
        <f t="shared" si="10"/>
        <v/>
      </c>
    </row>
    <row r="181" spans="12:16" hidden="1">
      <c r="L181" s="60">
        <f t="shared" si="10"/>
        <v>0</v>
      </c>
      <c r="M181" s="60">
        <f t="shared" si="10"/>
        <v>0</v>
      </c>
      <c r="N181" s="60">
        <f t="shared" si="10"/>
        <v>0</v>
      </c>
      <c r="O181" s="60">
        <f t="shared" si="10"/>
        <v>0</v>
      </c>
      <c r="P181" s="60" t="str">
        <f t="shared" si="10"/>
        <v/>
      </c>
    </row>
    <row r="182" spans="12:16" hidden="1">
      <c r="L182" s="60">
        <f t="shared" si="10"/>
        <v>0</v>
      </c>
      <c r="M182" s="60">
        <f t="shared" si="10"/>
        <v>0</v>
      </c>
      <c r="N182" s="60">
        <f t="shared" si="10"/>
        <v>0</v>
      </c>
      <c r="O182" s="60">
        <f t="shared" si="10"/>
        <v>0</v>
      </c>
      <c r="P182" s="60" t="str">
        <f t="shared" si="10"/>
        <v/>
      </c>
    </row>
    <row r="183" spans="12:16" hidden="1">
      <c r="L183" s="60">
        <f t="shared" si="10"/>
        <v>0</v>
      </c>
      <c r="M183" s="60">
        <f t="shared" si="10"/>
        <v>0</v>
      </c>
      <c r="N183" s="60">
        <f t="shared" si="10"/>
        <v>0</v>
      </c>
      <c r="O183" s="60">
        <f t="shared" si="10"/>
        <v>0</v>
      </c>
      <c r="P183" s="60" t="str">
        <f t="shared" si="10"/>
        <v/>
      </c>
    </row>
    <row r="184" spans="12:16" hidden="1">
      <c r="L184" s="60">
        <f t="shared" si="10"/>
        <v>0</v>
      </c>
      <c r="M184" s="60">
        <f t="shared" si="10"/>
        <v>0</v>
      </c>
      <c r="N184" s="60">
        <f t="shared" si="10"/>
        <v>0</v>
      </c>
      <c r="O184" s="60">
        <f t="shared" si="10"/>
        <v>0</v>
      </c>
      <c r="P184" s="60" t="str">
        <f t="shared" si="10"/>
        <v/>
      </c>
    </row>
    <row r="185" spans="12:16" hidden="1">
      <c r="L185" s="60">
        <f t="shared" si="10"/>
        <v>0</v>
      </c>
      <c r="M185" s="60">
        <f t="shared" si="10"/>
        <v>0</v>
      </c>
      <c r="N185" s="60">
        <f t="shared" si="10"/>
        <v>0</v>
      </c>
      <c r="O185" s="60">
        <f t="shared" si="10"/>
        <v>0</v>
      </c>
      <c r="P185" s="60" t="str">
        <f t="shared" si="10"/>
        <v/>
      </c>
    </row>
    <row r="186" spans="12:16" hidden="1">
      <c r="L186" s="60">
        <f t="shared" si="10"/>
        <v>0</v>
      </c>
      <c r="M186" s="60">
        <f t="shared" si="10"/>
        <v>0</v>
      </c>
      <c r="N186" s="60">
        <f t="shared" si="10"/>
        <v>0</v>
      </c>
      <c r="O186" s="60">
        <f t="shared" si="10"/>
        <v>0</v>
      </c>
      <c r="P186" s="60" t="str">
        <f t="shared" si="10"/>
        <v/>
      </c>
    </row>
    <row r="187" spans="12:16" hidden="1">
      <c r="L187" s="60">
        <f t="shared" si="10"/>
        <v>0</v>
      </c>
      <c r="M187" s="60">
        <f t="shared" si="10"/>
        <v>0</v>
      </c>
      <c r="N187" s="60">
        <f t="shared" si="10"/>
        <v>0</v>
      </c>
      <c r="O187" s="60">
        <f t="shared" si="10"/>
        <v>0</v>
      </c>
      <c r="P187" s="60" t="str">
        <f t="shared" si="10"/>
        <v/>
      </c>
    </row>
    <row r="188" spans="12:16" hidden="1">
      <c r="L188" s="60">
        <f t="shared" si="10"/>
        <v>0</v>
      </c>
      <c r="M188" s="60">
        <f t="shared" si="10"/>
        <v>0</v>
      </c>
      <c r="N188" s="60">
        <f t="shared" si="10"/>
        <v>0</v>
      </c>
      <c r="O188" s="60">
        <f t="shared" si="10"/>
        <v>0</v>
      </c>
      <c r="P188" s="60" t="str">
        <f t="shared" si="10"/>
        <v/>
      </c>
    </row>
    <row r="189" spans="12:16" hidden="1">
      <c r="L189" s="60">
        <f t="shared" si="10"/>
        <v>0</v>
      </c>
      <c r="M189" s="60">
        <f t="shared" si="10"/>
        <v>0</v>
      </c>
      <c r="N189" s="60">
        <f t="shared" si="10"/>
        <v>0</v>
      </c>
      <c r="O189" s="60">
        <f t="shared" si="10"/>
        <v>0</v>
      </c>
      <c r="P189" s="60" t="str">
        <f t="shared" si="10"/>
        <v/>
      </c>
    </row>
    <row r="190" spans="12:16" hidden="1">
      <c r="L190" s="60">
        <f t="shared" si="10"/>
        <v>0</v>
      </c>
      <c r="M190" s="60">
        <f t="shared" si="10"/>
        <v>0</v>
      </c>
      <c r="N190" s="60">
        <f t="shared" si="10"/>
        <v>0</v>
      </c>
      <c r="O190" s="60">
        <f t="shared" si="10"/>
        <v>0</v>
      </c>
      <c r="P190" s="60" t="str">
        <f t="shared" si="10"/>
        <v/>
      </c>
    </row>
    <row r="191" spans="12:16" hidden="1">
      <c r="L191" s="60">
        <f t="shared" si="10"/>
        <v>0</v>
      </c>
      <c r="M191" s="60">
        <f t="shared" si="10"/>
        <v>0</v>
      </c>
      <c r="N191" s="60">
        <f t="shared" si="10"/>
        <v>0</v>
      </c>
      <c r="O191" s="60">
        <f t="shared" si="10"/>
        <v>0</v>
      </c>
      <c r="P191" s="60" t="str">
        <f t="shared" si="10"/>
        <v/>
      </c>
    </row>
    <row r="192" spans="12:16" hidden="1">
      <c r="L192" s="60">
        <f t="shared" si="10"/>
        <v>0</v>
      </c>
      <c r="M192" s="60">
        <f t="shared" si="10"/>
        <v>0</v>
      </c>
      <c r="N192" s="60">
        <f t="shared" si="10"/>
        <v>0</v>
      </c>
      <c r="O192" s="60">
        <f t="shared" si="10"/>
        <v>0</v>
      </c>
      <c r="P192" s="60" t="str">
        <f t="shared" si="10"/>
        <v/>
      </c>
    </row>
    <row r="193" spans="12:16" hidden="1">
      <c r="L193" s="60">
        <f t="shared" si="10"/>
        <v>0</v>
      </c>
      <c r="M193" s="60">
        <f t="shared" si="10"/>
        <v>0</v>
      </c>
      <c r="N193" s="60">
        <f t="shared" si="10"/>
        <v>0</v>
      </c>
      <c r="O193" s="60">
        <f t="shared" si="10"/>
        <v>0</v>
      </c>
      <c r="P193" s="60" t="str">
        <f t="shared" si="10"/>
        <v/>
      </c>
    </row>
    <row r="194" spans="12:16" hidden="1">
      <c r="L194" s="60">
        <f t="shared" si="10"/>
        <v>0</v>
      </c>
      <c r="M194" s="60">
        <f t="shared" si="10"/>
        <v>0</v>
      </c>
      <c r="N194" s="60">
        <f t="shared" si="10"/>
        <v>0</v>
      </c>
      <c r="O194" s="60">
        <f t="shared" si="10"/>
        <v>0</v>
      </c>
      <c r="P194" s="60" t="str">
        <f t="shared" si="10"/>
        <v/>
      </c>
    </row>
    <row r="195" spans="12:16" hidden="1">
      <c r="L195" s="60">
        <f t="shared" si="10"/>
        <v>0</v>
      </c>
      <c r="M195" s="60">
        <f t="shared" si="10"/>
        <v>0</v>
      </c>
      <c r="N195" s="60">
        <f t="shared" si="10"/>
        <v>0</v>
      </c>
      <c r="O195" s="60">
        <f t="shared" ref="L195:P220" si="11">IF(O$3="","",IF(AND(O$3&lt;$K195,O$3&gt;=$J195),1,0))</f>
        <v>0</v>
      </c>
      <c r="P195" s="60" t="str">
        <f t="shared" si="11"/>
        <v/>
      </c>
    </row>
    <row r="196" spans="12:16" hidden="1">
      <c r="L196" s="60">
        <f t="shared" si="11"/>
        <v>0</v>
      </c>
      <c r="M196" s="60">
        <f t="shared" si="11"/>
        <v>0</v>
      </c>
      <c r="N196" s="60">
        <f t="shared" si="11"/>
        <v>0</v>
      </c>
      <c r="O196" s="60">
        <f t="shared" si="11"/>
        <v>0</v>
      </c>
      <c r="P196" s="60" t="str">
        <f t="shared" si="11"/>
        <v/>
      </c>
    </row>
    <row r="197" spans="12:16" hidden="1">
      <c r="L197" s="60">
        <f t="shared" si="11"/>
        <v>0</v>
      </c>
      <c r="M197" s="60">
        <f t="shared" si="11"/>
        <v>0</v>
      </c>
      <c r="N197" s="60">
        <f t="shared" si="11"/>
        <v>0</v>
      </c>
      <c r="O197" s="60">
        <f t="shared" si="11"/>
        <v>0</v>
      </c>
      <c r="P197" s="60" t="str">
        <f t="shared" si="11"/>
        <v/>
      </c>
    </row>
    <row r="198" spans="12:16" hidden="1">
      <c r="L198" s="60">
        <f t="shared" si="11"/>
        <v>0</v>
      </c>
      <c r="M198" s="60">
        <f t="shared" si="11"/>
        <v>0</v>
      </c>
      <c r="N198" s="60">
        <f t="shared" si="11"/>
        <v>0</v>
      </c>
      <c r="O198" s="60">
        <f t="shared" si="11"/>
        <v>0</v>
      </c>
      <c r="P198" s="60" t="str">
        <f t="shared" si="11"/>
        <v/>
      </c>
    </row>
    <row r="199" spans="12:16" hidden="1">
      <c r="L199" s="60">
        <f t="shared" si="11"/>
        <v>0</v>
      </c>
      <c r="M199" s="60">
        <f t="shared" si="11"/>
        <v>0</v>
      </c>
      <c r="N199" s="60">
        <f t="shared" si="11"/>
        <v>0</v>
      </c>
      <c r="O199" s="60">
        <f t="shared" si="11"/>
        <v>0</v>
      </c>
      <c r="P199" s="60" t="str">
        <f t="shared" si="11"/>
        <v/>
      </c>
    </row>
    <row r="200" spans="12:16" hidden="1">
      <c r="L200" s="60">
        <f t="shared" si="11"/>
        <v>0</v>
      </c>
      <c r="M200" s="60">
        <f t="shared" si="11"/>
        <v>0</v>
      </c>
      <c r="N200" s="60">
        <f t="shared" si="11"/>
        <v>0</v>
      </c>
      <c r="O200" s="60">
        <f t="shared" si="11"/>
        <v>0</v>
      </c>
      <c r="P200" s="60" t="str">
        <f t="shared" si="11"/>
        <v/>
      </c>
    </row>
    <row r="201" spans="12:16" hidden="1">
      <c r="L201" s="60">
        <f t="shared" si="11"/>
        <v>0</v>
      </c>
      <c r="M201" s="60">
        <f t="shared" si="11"/>
        <v>0</v>
      </c>
      <c r="N201" s="60">
        <f t="shared" si="11"/>
        <v>0</v>
      </c>
      <c r="O201" s="60">
        <f t="shared" si="11"/>
        <v>0</v>
      </c>
      <c r="P201" s="60" t="str">
        <f t="shared" si="11"/>
        <v/>
      </c>
    </row>
    <row r="202" spans="12:16" hidden="1">
      <c r="L202" s="60">
        <f t="shared" si="11"/>
        <v>0</v>
      </c>
      <c r="M202" s="60">
        <f t="shared" si="11"/>
        <v>0</v>
      </c>
      <c r="N202" s="60">
        <f t="shared" si="11"/>
        <v>0</v>
      </c>
      <c r="O202" s="60">
        <f t="shared" si="11"/>
        <v>0</v>
      </c>
      <c r="P202" s="60" t="str">
        <f t="shared" si="11"/>
        <v/>
      </c>
    </row>
    <row r="203" spans="12:16" hidden="1">
      <c r="L203" s="60">
        <f t="shared" si="11"/>
        <v>0</v>
      </c>
      <c r="M203" s="60">
        <f t="shared" si="11"/>
        <v>0</v>
      </c>
      <c r="N203" s="60">
        <f t="shared" si="11"/>
        <v>0</v>
      </c>
      <c r="O203" s="60">
        <f t="shared" si="11"/>
        <v>0</v>
      </c>
      <c r="P203" s="60" t="str">
        <f t="shared" si="11"/>
        <v/>
      </c>
    </row>
    <row r="204" spans="12:16" hidden="1">
      <c r="L204" s="60">
        <f t="shared" si="11"/>
        <v>0</v>
      </c>
      <c r="M204" s="60">
        <f t="shared" si="11"/>
        <v>0</v>
      </c>
      <c r="N204" s="60">
        <f t="shared" si="11"/>
        <v>0</v>
      </c>
      <c r="O204" s="60">
        <f t="shared" si="11"/>
        <v>0</v>
      </c>
      <c r="P204" s="60" t="str">
        <f t="shared" si="11"/>
        <v/>
      </c>
    </row>
    <row r="205" spans="12:16" hidden="1">
      <c r="L205" s="60">
        <f t="shared" si="11"/>
        <v>0</v>
      </c>
      <c r="M205" s="60">
        <f t="shared" si="11"/>
        <v>0</v>
      </c>
      <c r="N205" s="60">
        <f t="shared" si="11"/>
        <v>0</v>
      </c>
      <c r="O205" s="60">
        <f t="shared" si="11"/>
        <v>0</v>
      </c>
      <c r="P205" s="60" t="str">
        <f t="shared" si="11"/>
        <v/>
      </c>
    </row>
    <row r="206" spans="12:16" hidden="1">
      <c r="L206" s="60">
        <f t="shared" si="11"/>
        <v>0</v>
      </c>
      <c r="M206" s="60">
        <f t="shared" si="11"/>
        <v>0</v>
      </c>
      <c r="N206" s="60">
        <f t="shared" si="11"/>
        <v>0</v>
      </c>
      <c r="O206" s="60">
        <f t="shared" si="11"/>
        <v>0</v>
      </c>
      <c r="P206" s="60" t="str">
        <f t="shared" si="11"/>
        <v/>
      </c>
    </row>
    <row r="207" spans="12:16" hidden="1">
      <c r="L207" s="60">
        <f t="shared" si="11"/>
        <v>0</v>
      </c>
      <c r="M207" s="60">
        <f t="shared" si="11"/>
        <v>0</v>
      </c>
      <c r="N207" s="60">
        <f t="shared" si="11"/>
        <v>0</v>
      </c>
      <c r="O207" s="60">
        <f t="shared" si="11"/>
        <v>0</v>
      </c>
      <c r="P207" s="60" t="str">
        <f t="shared" si="11"/>
        <v/>
      </c>
    </row>
    <row r="208" spans="12:16" hidden="1">
      <c r="L208" s="60">
        <f t="shared" si="11"/>
        <v>0</v>
      </c>
      <c r="M208" s="60">
        <f t="shared" si="11"/>
        <v>0</v>
      </c>
      <c r="N208" s="60">
        <f t="shared" si="11"/>
        <v>0</v>
      </c>
      <c r="O208" s="60">
        <f t="shared" si="11"/>
        <v>0</v>
      </c>
      <c r="P208" s="60" t="str">
        <f t="shared" si="11"/>
        <v/>
      </c>
    </row>
    <row r="209" spans="12:16" hidden="1">
      <c r="L209" s="60">
        <f t="shared" si="11"/>
        <v>0</v>
      </c>
      <c r="M209" s="60">
        <f t="shared" si="11"/>
        <v>0</v>
      </c>
      <c r="N209" s="60">
        <f t="shared" si="11"/>
        <v>0</v>
      </c>
      <c r="O209" s="60">
        <f t="shared" si="11"/>
        <v>0</v>
      </c>
      <c r="P209" s="60" t="str">
        <f t="shared" si="11"/>
        <v/>
      </c>
    </row>
    <row r="210" spans="12:16" hidden="1">
      <c r="L210" s="60">
        <f t="shared" si="11"/>
        <v>0</v>
      </c>
      <c r="M210" s="60">
        <f t="shared" si="11"/>
        <v>0</v>
      </c>
      <c r="N210" s="60">
        <f t="shared" si="11"/>
        <v>0</v>
      </c>
      <c r="O210" s="60">
        <f t="shared" si="11"/>
        <v>0</v>
      </c>
      <c r="P210" s="60" t="str">
        <f t="shared" si="11"/>
        <v/>
      </c>
    </row>
    <row r="211" spans="12:16" hidden="1">
      <c r="L211" s="60">
        <f t="shared" si="11"/>
        <v>0</v>
      </c>
      <c r="M211" s="60">
        <f t="shared" si="11"/>
        <v>0</v>
      </c>
      <c r="N211" s="60">
        <f t="shared" si="11"/>
        <v>0</v>
      </c>
      <c r="O211" s="60">
        <f t="shared" si="11"/>
        <v>0</v>
      </c>
      <c r="P211" s="60" t="str">
        <f t="shared" si="11"/>
        <v/>
      </c>
    </row>
    <row r="212" spans="12:16" hidden="1">
      <c r="L212" s="60">
        <f t="shared" si="11"/>
        <v>0</v>
      </c>
      <c r="M212" s="60">
        <f t="shared" si="11"/>
        <v>0</v>
      </c>
      <c r="N212" s="60">
        <f t="shared" si="11"/>
        <v>0</v>
      </c>
      <c r="O212" s="60">
        <f t="shared" si="11"/>
        <v>0</v>
      </c>
      <c r="P212" s="60" t="str">
        <f t="shared" si="11"/>
        <v/>
      </c>
    </row>
    <row r="213" spans="12:16" hidden="1">
      <c r="L213" s="60">
        <f t="shared" si="11"/>
        <v>0</v>
      </c>
      <c r="M213" s="60">
        <f t="shared" si="11"/>
        <v>0</v>
      </c>
      <c r="N213" s="60">
        <f t="shared" si="11"/>
        <v>0</v>
      </c>
      <c r="O213" s="60">
        <f t="shared" si="11"/>
        <v>0</v>
      </c>
      <c r="P213" s="60" t="str">
        <f t="shared" si="11"/>
        <v/>
      </c>
    </row>
    <row r="214" spans="12:16" hidden="1">
      <c r="L214" s="60">
        <f t="shared" si="11"/>
        <v>0</v>
      </c>
      <c r="M214" s="60">
        <f t="shared" si="11"/>
        <v>0</v>
      </c>
      <c r="N214" s="60">
        <f t="shared" si="11"/>
        <v>0</v>
      </c>
      <c r="O214" s="60">
        <f t="shared" si="11"/>
        <v>0</v>
      </c>
      <c r="P214" s="60" t="str">
        <f t="shared" si="11"/>
        <v/>
      </c>
    </row>
    <row r="215" spans="12:16" hidden="1">
      <c r="L215" s="60">
        <f t="shared" si="11"/>
        <v>0</v>
      </c>
      <c r="M215" s="60">
        <f t="shared" si="11"/>
        <v>0</v>
      </c>
      <c r="N215" s="60">
        <f t="shared" si="11"/>
        <v>0</v>
      </c>
      <c r="O215" s="60">
        <f t="shared" si="11"/>
        <v>0</v>
      </c>
      <c r="P215" s="60" t="str">
        <f t="shared" si="11"/>
        <v/>
      </c>
    </row>
    <row r="216" spans="12:16" hidden="1">
      <c r="L216" s="60">
        <f t="shared" si="11"/>
        <v>0</v>
      </c>
      <c r="M216" s="60">
        <f t="shared" si="11"/>
        <v>0</v>
      </c>
      <c r="N216" s="60">
        <f t="shared" si="11"/>
        <v>0</v>
      </c>
      <c r="O216" s="60">
        <f t="shared" si="11"/>
        <v>0</v>
      </c>
      <c r="P216" s="60" t="str">
        <f t="shared" si="11"/>
        <v/>
      </c>
    </row>
    <row r="217" spans="12:16" hidden="1">
      <c r="L217" s="60">
        <f t="shared" si="11"/>
        <v>0</v>
      </c>
      <c r="M217" s="60">
        <f t="shared" si="11"/>
        <v>0</v>
      </c>
      <c r="N217" s="60">
        <f t="shared" si="11"/>
        <v>0</v>
      </c>
      <c r="O217" s="60">
        <f t="shared" si="11"/>
        <v>0</v>
      </c>
      <c r="P217" s="60" t="str">
        <f t="shared" si="11"/>
        <v/>
      </c>
    </row>
    <row r="218" spans="12:16" hidden="1">
      <c r="L218" s="60">
        <f t="shared" si="11"/>
        <v>0</v>
      </c>
      <c r="M218" s="60">
        <f t="shared" si="11"/>
        <v>0</v>
      </c>
      <c r="N218" s="60">
        <f t="shared" si="11"/>
        <v>0</v>
      </c>
      <c r="O218" s="60">
        <f t="shared" si="11"/>
        <v>0</v>
      </c>
      <c r="P218" s="60" t="str">
        <f t="shared" si="11"/>
        <v/>
      </c>
    </row>
    <row r="219" spans="12:16" hidden="1">
      <c r="L219" s="60">
        <f t="shared" si="11"/>
        <v>0</v>
      </c>
      <c r="M219" s="60">
        <f t="shared" si="11"/>
        <v>0</v>
      </c>
      <c r="N219" s="60">
        <f t="shared" si="11"/>
        <v>0</v>
      </c>
      <c r="O219" s="60">
        <f t="shared" si="11"/>
        <v>0</v>
      </c>
      <c r="P219" s="60" t="str">
        <f t="shared" si="11"/>
        <v/>
      </c>
    </row>
    <row r="220" spans="12:16" hidden="1">
      <c r="L220" s="60">
        <f t="shared" si="11"/>
        <v>0</v>
      </c>
      <c r="M220" s="60">
        <f t="shared" si="11"/>
        <v>0</v>
      </c>
      <c r="N220" s="60">
        <f t="shared" si="11"/>
        <v>0</v>
      </c>
      <c r="O220" s="60">
        <f t="shared" si="11"/>
        <v>0</v>
      </c>
      <c r="P220" s="60" t="str">
        <f t="shared" si="11"/>
        <v/>
      </c>
    </row>
    <row r="221" spans="12:16" hidden="1"/>
  </sheetData>
  <autoFilter ref="A3:R81" xr:uid="{00000000-0001-0000-0E00-000000000000}"/>
  <mergeCells count="2">
    <mergeCell ref="A1:J1"/>
    <mergeCell ref="A2:K2"/>
  </mergeCells>
  <conditionalFormatting sqref="L82:P220 L4:P77">
    <cfRule type="cellIs" dxfId="9" priority="5" stopIfTrue="1" operator="equal">
      <formula>1</formula>
    </cfRule>
    <cfRule type="cellIs" dxfId="8" priority="6" stopIfTrue="1" operator="equal">
      <formula>0</formula>
    </cfRule>
    <cfRule type="cellIs" dxfId="7" priority="14" stopIfTrue="1" operator="equal">
      <formula>0</formula>
    </cfRule>
  </conditionalFormatting>
  <conditionalFormatting sqref="L82:P220 L4:P77">
    <cfRule type="cellIs" dxfId="6" priority="13" stopIfTrue="1" operator="equal">
      <formula>1</formula>
    </cfRule>
  </conditionalFormatting>
  <conditionalFormatting sqref="L78:Q80 P81:Q81">
    <cfRule type="cellIs" dxfId="5" priority="1" stopIfTrue="1" operator="equal">
      <formula>1</formula>
    </cfRule>
    <cfRule type="cellIs" dxfId="4" priority="2" stopIfTrue="1" operator="equal">
      <formula>0</formula>
    </cfRule>
    <cfRule type="cellIs" dxfId="3" priority="3" stopIfTrue="1" operator="equal">
      <formula>1</formula>
    </cfRule>
    <cfRule type="cellIs" dxfId="2" priority="4" stopIfTrue="1" operator="equal">
      <formula>0</formula>
    </cfRule>
  </conditionalFormatting>
  <conditionalFormatting sqref="M82:O99 M101:O124 M126:O149 M151:O174 M176:O199 M201:O220">
    <cfRule type="cellIs" dxfId="1" priority="7" stopIfTrue="1" operator="equal">
      <formula>1</formula>
    </cfRule>
    <cfRule type="cellIs" dxfId="0" priority="8" stopIfTrue="1" operator="equal">
      <formula>0</formula>
    </cfRule>
  </conditionalFormatting>
  <pageMargins left="0.25" right="0.25" top="0.75" bottom="0.75" header="0.3" footer="0.3"/>
  <pageSetup paperSize="9" scale="45" fitToHeight="3"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09349011C5C734494BE581CD75A5CCA" ma:contentTypeVersion="3" ma:contentTypeDescription="Create a new document." ma:contentTypeScope="" ma:versionID="20f0acdd48eedf93b8162efb20edd915">
  <xsd:schema xmlns:xsd="http://www.w3.org/2001/XMLSchema" xmlns:xs="http://www.w3.org/2001/XMLSchema" xmlns:p="http://schemas.microsoft.com/office/2006/metadata/properties" xmlns:ns3="b8dd817b-f175-45a4-88a6-ca8063bde37e" targetNamespace="http://schemas.microsoft.com/office/2006/metadata/properties" ma:root="true" ma:fieldsID="bd3ce207f31da5f9c8d628857fa61c75" ns3:_="">
    <xsd:import namespace="b8dd817b-f175-45a4-88a6-ca8063bde37e"/>
    <xsd:element name="properties">
      <xsd:complexType>
        <xsd:sequence>
          <xsd:element name="documentManagement">
            <xsd:complexType>
              <xsd:all>
                <xsd:element ref="ns3:MediaServiceMetadata" minOccurs="0"/>
                <xsd:element ref="ns3:MediaServiceFastMetadata"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8dd817b-f175-45a4-88a6-ca8063bde37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06248F9-0D34-4AA8-A3F2-EAE87E9977AE}">
  <ds:schemaRefs>
    <ds:schemaRef ds:uri="http://schemas.microsoft.com/sharepoint/v3/contenttype/forms"/>
  </ds:schemaRefs>
</ds:datastoreItem>
</file>

<file path=customXml/itemProps2.xml><?xml version="1.0" encoding="utf-8"?>
<ds:datastoreItem xmlns:ds="http://schemas.openxmlformats.org/officeDocument/2006/customXml" ds:itemID="{01AA56FB-3F9F-4B60-ABAF-D54C9998088D}">
  <ds:schemaRefs>
    <ds:schemaRef ds:uri="http://www.w3.org/XML/1998/namespace"/>
    <ds:schemaRef ds:uri="http://purl.org/dc/elements/1.1/"/>
    <ds:schemaRef ds:uri="http://schemas.openxmlformats.org/package/2006/metadata/core-properties"/>
    <ds:schemaRef ds:uri="http://schemas.microsoft.com/office/2006/documentManagement/types"/>
    <ds:schemaRef ds:uri="http://schemas.microsoft.com/office/infopath/2007/PartnerControls"/>
    <ds:schemaRef ds:uri="b8dd817b-f175-45a4-88a6-ca8063bde37e"/>
    <ds:schemaRef ds:uri="http://schemas.microsoft.com/office/2006/metadata/properties"/>
    <ds:schemaRef ds:uri="http://purl.org/dc/dcmitype/"/>
    <ds:schemaRef ds:uri="http://purl.org/dc/terms/"/>
  </ds:schemaRefs>
</ds:datastoreItem>
</file>

<file path=customXml/itemProps3.xml><?xml version="1.0" encoding="utf-8"?>
<ds:datastoreItem xmlns:ds="http://schemas.openxmlformats.org/officeDocument/2006/customXml" ds:itemID="{A1513909-982A-42B7-9EB0-D66540EBA4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8dd817b-f175-45a4-88a6-ca8063bde3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HHpoints</vt:lpstr>
      <vt:lpstr>Rooming Template</vt:lpstr>
      <vt:lpstr>'Rooming Template'!Print_Area</vt:lpstr>
      <vt:lpstr>'Rooming Template'!Print_Titles</vt:lpstr>
    </vt:vector>
  </TitlesOfParts>
  <Company>Hilton Worldwide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Hilton Barcelona</dc:creator>
  <cp:lastModifiedBy>Gemma Rafols - Hilton Barcelona</cp:lastModifiedBy>
  <cp:lastPrinted>2025-06-25T11:10:30Z</cp:lastPrinted>
  <dcterms:created xsi:type="dcterms:W3CDTF">2012-07-26T09:07:56Z</dcterms:created>
  <dcterms:modified xsi:type="dcterms:W3CDTF">2025-06-25T11:10:35Z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0x010100F09349011C5C734494BE581CD75A5CCA</vt:lpwstr>
  </property>
</Properties>
</file>