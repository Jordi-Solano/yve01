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L:\COMMON\Facturacion grupos\GRUPOS facturacion\2025\07 JUL\"/>
    </mc:Choice>
  </mc:AlternateContent>
  <xr:revisionPtr revIDLastSave="0" documentId="13_ncr:1_{0D012AB2-7F3B-4A93-8246-99AE66A3138D}" xr6:coauthVersionLast="47" xr6:coauthVersionMax="47" xr10:uidLastSave="{00000000-0000-0000-0000-000000000000}"/>
  <bookViews>
    <workbookView xWindow="-120" yWindow="-120" windowWidth="29040" windowHeight="15840" tabRatio="422" xr2:uid="{00000000-000D-0000-FFFF-FFFF00000000}"/>
  </bookViews>
  <sheets>
    <sheet name="Sheet1" sheetId="1" r:id="rId1"/>
    <sheet name="Module1" sheetId="2" state="veryHidden" r:id=""/>
    <sheet name="Module2" sheetId="3" state="veryHidden" r:id=""/>
    <sheet name="Module3" sheetId="4" state="veryHidden" r:id="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6" i="1" l="1"/>
  <c r="M26" i="1"/>
  <c r="K26" i="1"/>
  <c r="J26" i="1"/>
  <c r="N24" i="1"/>
  <c r="M24" i="1"/>
  <c r="K24" i="1"/>
  <c r="J24" i="1"/>
  <c r="N34" i="1"/>
  <c r="M34" i="1"/>
  <c r="K34" i="1"/>
  <c r="J34" i="1"/>
  <c r="N33" i="1"/>
  <c r="M33" i="1"/>
  <c r="K33" i="1"/>
  <c r="J33" i="1"/>
  <c r="N31" i="1"/>
  <c r="M31" i="1"/>
  <c r="K31" i="1"/>
  <c r="J31" i="1"/>
  <c r="N30" i="1"/>
  <c r="M30" i="1"/>
  <c r="K30" i="1"/>
  <c r="J30" i="1"/>
  <c r="N36" i="1"/>
  <c r="M36" i="1"/>
  <c r="K36" i="1"/>
  <c r="J36" i="1"/>
  <c r="N35" i="1"/>
  <c r="M35" i="1"/>
  <c r="K35" i="1"/>
  <c r="J35" i="1"/>
  <c r="N29" i="1"/>
  <c r="N32" i="1"/>
  <c r="J48" i="1"/>
  <c r="K48" i="1"/>
  <c r="M48" i="1"/>
  <c r="N48" i="1"/>
  <c r="J23" i="1"/>
  <c r="K23" i="1"/>
  <c r="M23" i="1"/>
  <c r="N23" i="1"/>
  <c r="J25" i="1"/>
  <c r="K25" i="1"/>
  <c r="M25" i="1"/>
  <c r="N25" i="1"/>
  <c r="J27" i="1"/>
  <c r="K27" i="1"/>
  <c r="M27" i="1"/>
  <c r="N27" i="1"/>
  <c r="J29" i="1"/>
  <c r="K29" i="1"/>
  <c r="M29" i="1"/>
  <c r="O26" i="1" l="1"/>
  <c r="O35" i="1"/>
  <c r="O36" i="1"/>
  <c r="O30" i="1"/>
  <c r="O24" i="1"/>
  <c r="O31" i="1"/>
  <c r="O34" i="1"/>
  <c r="O33" i="1"/>
  <c r="O48" i="1"/>
  <c r="O29" i="1"/>
  <c r="O25" i="1"/>
  <c r="O23" i="1"/>
  <c r="O27" i="1"/>
  <c r="M47" i="1" l="1"/>
  <c r="M46" i="1"/>
  <c r="J32" i="1"/>
  <c r="J37" i="1"/>
  <c r="J38" i="1"/>
  <c r="J39" i="1"/>
  <c r="J40" i="1"/>
  <c r="J41" i="1"/>
  <c r="J42" i="1"/>
  <c r="J43" i="1"/>
  <c r="J44" i="1"/>
  <c r="J45" i="1"/>
  <c r="J49" i="1"/>
  <c r="J50" i="1"/>
  <c r="J51" i="1"/>
  <c r="K46" i="1"/>
  <c r="K47" i="1"/>
  <c r="K32" i="1"/>
  <c r="K37" i="1"/>
  <c r="K38" i="1"/>
  <c r="K39" i="1"/>
  <c r="K40" i="1"/>
  <c r="K41" i="1"/>
  <c r="K42" i="1"/>
  <c r="K43" i="1"/>
  <c r="K44" i="1"/>
  <c r="K45" i="1"/>
  <c r="K49" i="1"/>
  <c r="K50" i="1"/>
  <c r="K51" i="1"/>
  <c r="M32" i="1"/>
  <c r="M37" i="1"/>
  <c r="M38" i="1"/>
  <c r="M39" i="1"/>
  <c r="M40" i="1"/>
  <c r="M41" i="1"/>
  <c r="M42" i="1"/>
  <c r="M43" i="1"/>
  <c r="M44" i="1"/>
  <c r="M45" i="1"/>
  <c r="M49" i="1"/>
  <c r="M50" i="1"/>
  <c r="M51" i="1"/>
  <c r="N46" i="1"/>
  <c r="N45" i="1"/>
  <c r="N44" i="1"/>
  <c r="N43" i="1"/>
  <c r="N42" i="1"/>
  <c r="N41" i="1"/>
  <c r="N40" i="1"/>
  <c r="N39" i="1"/>
  <c r="N38" i="1"/>
  <c r="N37" i="1"/>
  <c r="N47" i="1"/>
  <c r="N49" i="1"/>
  <c r="N50" i="1"/>
  <c r="N51" i="1"/>
  <c r="L54" i="1"/>
  <c r="J52" i="1" l="1"/>
  <c r="K53" i="1"/>
  <c r="O53" i="1"/>
  <c r="O56" i="1" s="1"/>
  <c r="O37" i="1"/>
  <c r="O32" i="1"/>
  <c r="J47" i="1"/>
  <c r="O47" i="1" s="1"/>
  <c r="O39" i="1"/>
  <c r="O44" i="1"/>
  <c r="O45" i="1"/>
  <c r="O41" i="1"/>
  <c r="O49" i="1"/>
  <c r="O40" i="1"/>
  <c r="O50" i="1"/>
  <c r="O51" i="1"/>
  <c r="O42" i="1"/>
  <c r="O43" i="1"/>
  <c r="O38" i="1"/>
  <c r="J46" i="1"/>
  <c r="O52" i="1" s="1"/>
  <c r="O54" i="1"/>
  <c r="M54" i="1"/>
  <c r="O55" i="1" l="1"/>
  <c r="O57" i="1" s="1"/>
  <c r="O46" i="1"/>
</calcChain>
</file>

<file path=xl/sharedStrings.xml><?xml version="1.0" encoding="utf-8"?>
<sst xmlns="http://schemas.openxmlformats.org/spreadsheetml/2006/main" count="66" uniqueCount="62">
  <si>
    <t>Avda. Diagonal 589-591</t>
  </si>
  <si>
    <t>08014 Barcelona - SPAIN</t>
  </si>
  <si>
    <t>Tel. 34-93-495 7777</t>
  </si>
  <si>
    <t>Nº de Factura</t>
  </si>
  <si>
    <t>Llegada</t>
  </si>
  <si>
    <t>Salida</t>
  </si>
  <si>
    <t>Precio</t>
  </si>
  <si>
    <t>Invoice No.</t>
  </si>
  <si>
    <t>Arrival</t>
  </si>
  <si>
    <t>Departure</t>
  </si>
  <si>
    <t>Fecha</t>
  </si>
  <si>
    <t>Cantidad</t>
  </si>
  <si>
    <t>Nº de referencia y Descripción</t>
  </si>
  <si>
    <t>TOTAL</t>
  </si>
  <si>
    <t>Date</t>
  </si>
  <si>
    <t>Quantity</t>
  </si>
  <si>
    <t>Reference No. and Description</t>
  </si>
  <si>
    <t>Imponible</t>
  </si>
  <si>
    <t>Exento</t>
  </si>
  <si>
    <t>EXENTO</t>
  </si>
  <si>
    <t>Price</t>
  </si>
  <si>
    <t>Total Factura</t>
  </si>
  <si>
    <t>Cargos/Créditos</t>
  </si>
  <si>
    <t>Charges/Credits</t>
  </si>
  <si>
    <t>NºGrupo</t>
  </si>
  <si>
    <t>Group Nº</t>
  </si>
  <si>
    <t>Nombre y Dirección/Client's Address</t>
  </si>
  <si>
    <t>Dirección de factura/Billing Address</t>
  </si>
  <si>
    <t>IVA</t>
  </si>
  <si>
    <t>Total Exento</t>
  </si>
  <si>
    <t>VAT</t>
  </si>
  <si>
    <t>C.I.F. Nº B28444594</t>
  </si>
  <si>
    <t>Hotelera Diagonal SL</t>
  </si>
  <si>
    <t>0081 5029 15 0001198928</t>
  </si>
  <si>
    <t>IBAN: ES8900815029150001198928</t>
  </si>
  <si>
    <t>Bank Details / Datos Bancarios:</t>
  </si>
  <si>
    <t>IMPONIBLE 10%</t>
  </si>
  <si>
    <t>IMPONIBLE 21%</t>
  </si>
  <si>
    <t>Total Imponible 10%</t>
  </si>
  <si>
    <t>Total Imponible 21%</t>
  </si>
  <si>
    <t>Total IVA 10%</t>
  </si>
  <si>
    <t>Total IVA 21%</t>
  </si>
  <si>
    <t>Fax 34-93-495 7700</t>
  </si>
  <si>
    <t>Contabilidad/Accounting Tel 34-93-495 7702</t>
  </si>
  <si>
    <t>Invoice date</t>
  </si>
  <si>
    <t>Fecha de factura</t>
  </si>
  <si>
    <t>HOTELERA DIAGONAL S.L</t>
  </si>
  <si>
    <t>Banco Sabadell Atlantico</t>
  </si>
  <si>
    <t>Av. Sarria, 19</t>
  </si>
  <si>
    <t>08029 Barcelona</t>
  </si>
  <si>
    <t>SWIFT: BSAB ESBB</t>
  </si>
  <si>
    <t>MICHAL FIDZIUKIEWICZ</t>
  </si>
  <si>
    <t>GRUPA EVENT SP ZOO</t>
  </si>
  <si>
    <t>PARKOWA 3/10</t>
  </si>
  <si>
    <t>15 224 BIAKYSTOK</t>
  </si>
  <si>
    <t>PL5423446467</t>
  </si>
  <si>
    <t xml:space="preserve">ROOMS </t>
  </si>
  <si>
    <t>CITY TAX</t>
  </si>
  <si>
    <t>POLISH GROUP</t>
  </si>
  <si>
    <t>DEPOSIT RECEIPT</t>
  </si>
  <si>
    <t xml:space="preserve">NO SHOWS ( Sroka) </t>
  </si>
  <si>
    <t>125-01443330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</si>
</sst>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\€"/>
    <numFmt numFmtId="165" formatCode="#,##0.00\ &quot;€&quot;"/>
    <numFmt numFmtId="166" formatCode="#,##0.00\ [$€-1];[Red]\-#,##0.00\ [$€-1]"/>
  </numFmts>
  <fonts count="1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9"/>
      <color indexed="10"/>
      <name val="Arial"/>
      <family val="2"/>
    </font>
    <font>
      <b/>
      <i/>
      <sz val="9"/>
      <color rgb="FFFF0000"/>
      <name val="Arial"/>
      <family val="2"/>
    </font>
    <font>
      <sz val="9"/>
      <color rgb="FFC00000"/>
      <name val="Arial"/>
      <family val="2"/>
    </font>
    <font>
      <sz val="9"/>
      <color rgb="FFFF0000"/>
      <name val="Arial"/>
      <family val="2"/>
    </font>
    <font>
      <b/>
      <sz val="9"/>
      <color rgb="FFC00000"/>
      <name val="Arial"/>
      <family val="2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" fontId="1" fillId="0" borderId="0" applyFont="0" applyFill="0" applyBorder="0" applyAlignment="0" applyProtection="0"/>
  </cellStyleXfs>
  <cellXfs count="160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right"/>
    </xf>
    <xf numFmtId="9" fontId="2" fillId="0" borderId="23" xfId="0" applyNumberFormat="1" applyFont="1" applyBorder="1" applyAlignment="1" applyProtection="1">
      <alignment horizontal="center"/>
      <protection locked="0"/>
    </xf>
    <xf numFmtId="164" fontId="2" fillId="0" borderId="23" xfId="0" applyNumberFormat="1" applyFont="1" applyBorder="1" applyProtection="1">
      <protection locked="0"/>
    </xf>
    <xf numFmtId="164" fontId="2" fillId="0" borderId="3" xfId="0" applyNumberFormat="1" applyFont="1" applyBorder="1"/>
    <xf numFmtId="164" fontId="4" fillId="0" borderId="24" xfId="0" applyNumberFormat="1" applyFont="1" applyBorder="1"/>
    <xf numFmtId="164" fontId="2" fillId="0" borderId="23" xfId="0" applyNumberFormat="1" applyFont="1" applyBorder="1" applyAlignment="1" applyProtection="1">
      <alignment horizontal="right"/>
      <protection locked="0"/>
    </xf>
    <xf numFmtId="9" fontId="2" fillId="0" borderId="3" xfId="0" applyNumberFormat="1" applyFont="1" applyBorder="1" applyAlignment="1" applyProtection="1">
      <alignment horizontal="center"/>
      <protection locked="0"/>
    </xf>
    <xf numFmtId="164" fontId="4" fillId="0" borderId="24" xfId="0" applyNumberFormat="1" applyFont="1" applyBorder="1" applyAlignment="1">
      <alignment horizontal="right"/>
    </xf>
    <xf numFmtId="164" fontId="2" fillId="0" borderId="3" xfId="0" applyNumberFormat="1" applyFont="1" applyBorder="1" applyAlignment="1">
      <alignment horizontal="right"/>
    </xf>
    <xf numFmtId="164" fontId="2" fillId="0" borderId="22" xfId="0" applyNumberFormat="1" applyFont="1" applyBorder="1" applyAlignment="1">
      <alignment horizontal="right"/>
    </xf>
    <xf numFmtId="164" fontId="4" fillId="0" borderId="25" xfId="0" applyNumberFormat="1" applyFont="1" applyBorder="1"/>
    <xf numFmtId="0" fontId="2" fillId="0" borderId="0" xfId="0" applyFont="1"/>
    <xf numFmtId="0" fontId="2" fillId="0" borderId="0" xfId="0" applyFont="1" applyProtection="1">
      <protection locked="0"/>
    </xf>
    <xf numFmtId="0" fontId="2" fillId="0" borderId="3" xfId="0" applyFont="1" applyBorder="1" applyProtection="1">
      <protection locked="0"/>
    </xf>
    <xf numFmtId="0" fontId="4" fillId="0" borderId="12" xfId="0" applyFont="1" applyBorder="1" applyAlignment="1">
      <alignment horizontal="centerContinuous" wrapText="1"/>
    </xf>
    <xf numFmtId="0" fontId="4" fillId="0" borderId="12" xfId="0" quotePrefix="1" applyFont="1" applyBorder="1" applyAlignment="1">
      <alignment horizontal="centerContinuous" wrapText="1"/>
    </xf>
    <xf numFmtId="0" fontId="4" fillId="0" borderId="12" xfId="0" applyFont="1" applyBorder="1" applyAlignment="1">
      <alignment wrapText="1"/>
    </xf>
    <xf numFmtId="0" fontId="5" fillId="0" borderId="12" xfId="0" applyFont="1" applyBorder="1" applyAlignment="1">
      <alignment wrapText="1"/>
    </xf>
    <xf numFmtId="0" fontId="5" fillId="0" borderId="12" xfId="0" quotePrefix="1" applyFont="1" applyBorder="1" applyAlignment="1">
      <alignment horizontal="centerContinuous" wrapText="1"/>
    </xf>
    <xf numFmtId="0" fontId="4" fillId="0" borderId="12" xfId="0" quotePrefix="1" applyFont="1" applyBorder="1" applyAlignment="1">
      <alignment horizontal="center" wrapText="1"/>
    </xf>
    <xf numFmtId="0" fontId="4" fillId="0" borderId="17" xfId="0" applyFont="1" applyBorder="1" applyAlignment="1">
      <alignment horizontal="centerContinuous" wrapText="1"/>
    </xf>
    <xf numFmtId="0" fontId="4" fillId="0" borderId="0" xfId="0" applyFont="1"/>
    <xf numFmtId="0" fontId="4" fillId="0" borderId="0" xfId="0" applyFont="1" applyAlignment="1">
      <alignment horizontal="centerContinuous" wrapText="1"/>
    </xf>
    <xf numFmtId="0" fontId="4" fillId="0" borderId="0" xfId="0" applyFont="1" applyAlignment="1">
      <alignment horizontal="centerContinuous"/>
    </xf>
    <xf numFmtId="0" fontId="4" fillId="0" borderId="0" xfId="0" quotePrefix="1" applyFont="1" applyAlignment="1">
      <alignment horizontal="centerContinuous" wrapText="1"/>
    </xf>
    <xf numFmtId="0" fontId="5" fillId="0" borderId="0" xfId="0" applyFont="1"/>
    <xf numFmtId="0" fontId="4" fillId="0" borderId="18" xfId="0" applyFont="1" applyBorder="1" applyAlignment="1">
      <alignment horizontal="centerContinuous" wrapText="1"/>
    </xf>
    <xf numFmtId="15" fontId="2" fillId="0" borderId="6" xfId="0" quotePrefix="1" applyNumberFormat="1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centerContinuous"/>
      <protection locked="0"/>
    </xf>
    <xf numFmtId="14" fontId="2" fillId="0" borderId="13" xfId="0" applyNumberFormat="1" applyFont="1" applyBorder="1" applyAlignment="1" applyProtection="1">
      <alignment horizontal="centerContinuous"/>
      <protection locked="0"/>
    </xf>
    <xf numFmtId="0" fontId="4" fillId="0" borderId="3" xfId="0" applyFont="1" applyBorder="1" applyAlignment="1" applyProtection="1">
      <alignment horizontal="right"/>
      <protection locked="0"/>
    </xf>
    <xf numFmtId="0" fontId="4" fillId="0" borderId="3" xfId="0" quotePrefix="1" applyFont="1" applyBorder="1" applyAlignment="1" applyProtection="1">
      <alignment horizontal="right"/>
      <protection locked="0"/>
    </xf>
    <xf numFmtId="14" fontId="2" fillId="0" borderId="21" xfId="0" applyNumberFormat="1" applyFont="1" applyBorder="1" applyAlignment="1" applyProtection="1">
      <alignment horizontal="centerContinuous"/>
      <protection locked="0"/>
    </xf>
    <xf numFmtId="0" fontId="2" fillId="0" borderId="22" xfId="0" applyFont="1" applyBorder="1" applyAlignment="1" applyProtection="1">
      <alignment horizontal="centerContinuous"/>
      <protection locked="0"/>
    </xf>
    <xf numFmtId="0" fontId="2" fillId="0" borderId="7" xfId="0" applyFont="1" applyBorder="1" applyAlignment="1" applyProtection="1">
      <alignment horizontal="right"/>
      <protection locked="0"/>
    </xf>
    <xf numFmtId="0" fontId="2" fillId="0" borderId="22" xfId="0" applyFont="1" applyBorder="1" applyProtection="1">
      <protection locked="0"/>
    </xf>
    <xf numFmtId="0" fontId="2" fillId="0" borderId="7" xfId="0" applyFont="1" applyBorder="1" applyAlignment="1" applyProtection="1">
      <alignment horizontal="left"/>
      <protection locked="0"/>
    </xf>
    <xf numFmtId="0" fontId="2" fillId="0" borderId="7" xfId="0" applyFont="1" applyBorder="1" applyProtection="1">
      <protection locked="0"/>
    </xf>
    <xf numFmtId="0" fontId="4" fillId="0" borderId="22" xfId="0" applyFont="1" applyBorder="1" applyAlignment="1" applyProtection="1">
      <alignment horizontal="right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0" xfId="0" quotePrefix="1" applyFont="1" applyAlignment="1" applyProtection="1">
      <alignment horizontal="left" vertical="center"/>
      <protection locked="0"/>
    </xf>
    <xf numFmtId="0" fontId="2" fillId="0" borderId="3" xfId="0" applyFont="1" applyBorder="1" applyAlignment="1" applyProtection="1">
      <alignment vertical="center"/>
      <protection locked="0"/>
    </xf>
    <xf numFmtId="0" fontId="2" fillId="0" borderId="14" xfId="0" applyFont="1" applyBorder="1" applyAlignment="1" applyProtection="1">
      <alignment vertical="center"/>
      <protection locked="0"/>
    </xf>
    <xf numFmtId="0" fontId="2" fillId="0" borderId="4" xfId="0" applyFont="1" applyBorder="1" applyAlignment="1" applyProtection="1">
      <alignment vertical="center"/>
      <protection locked="0"/>
    </xf>
    <xf numFmtId="0" fontId="2" fillId="0" borderId="5" xfId="0" applyFont="1" applyBorder="1" applyAlignment="1" applyProtection="1">
      <alignment vertical="center"/>
      <protection locked="0"/>
    </xf>
    <xf numFmtId="0" fontId="2" fillId="0" borderId="15" xfId="0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vertical="center"/>
      <protection locked="0"/>
    </xf>
    <xf numFmtId="0" fontId="4" fillId="0" borderId="10" xfId="0" quotePrefix="1" applyFont="1" applyBorder="1" applyAlignment="1" applyProtection="1">
      <alignment horizontal="left" vertical="center"/>
      <protection locked="0"/>
    </xf>
    <xf numFmtId="0" fontId="4" fillId="0" borderId="0" xfId="0" quotePrefix="1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3" fontId="2" fillId="0" borderId="0" xfId="1" applyFont="1" applyBorder="1" applyAlignment="1" applyProtection="1">
      <alignment vertical="center"/>
      <protection locked="0"/>
    </xf>
    <xf numFmtId="0" fontId="4" fillId="0" borderId="1" xfId="0" quotePrefix="1" applyFont="1" applyBorder="1" applyAlignment="1" applyProtection="1">
      <alignment horizontal="left" vertical="center"/>
      <protection locked="0"/>
    </xf>
    <xf numFmtId="3" fontId="2" fillId="0" borderId="3" xfId="1" applyFont="1" applyFill="1" applyBorder="1" applyAlignment="1" applyProtection="1">
      <alignment vertical="center"/>
      <protection locked="0"/>
    </xf>
    <xf numFmtId="15" fontId="2" fillId="0" borderId="13" xfId="0" applyNumberFormat="1" applyFont="1" applyBorder="1" applyAlignment="1" applyProtection="1">
      <alignment horizontal="center"/>
      <protection locked="0"/>
    </xf>
    <xf numFmtId="15" fontId="2" fillId="0" borderId="3" xfId="0" applyNumberFormat="1" applyFont="1" applyBorder="1" applyAlignment="1" applyProtection="1">
      <alignment horizontal="center"/>
      <protection locked="0"/>
    </xf>
    <xf numFmtId="164" fontId="2" fillId="0" borderId="14" xfId="0" applyNumberFormat="1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4" xfId="0" applyFont="1" applyBorder="1" applyAlignment="1" applyProtection="1">
      <alignment vertical="center"/>
      <protection locked="0"/>
    </xf>
    <xf numFmtId="0" fontId="5" fillId="0" borderId="4" xfId="0" applyFont="1" applyBorder="1" applyAlignment="1" applyProtection="1">
      <alignment vertic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4" fillId="0" borderId="6" xfId="0" quotePrefix="1" applyFont="1" applyBorder="1" applyAlignment="1" applyProtection="1">
      <alignment horizontal="right" wrapText="1"/>
      <protection locked="0"/>
    </xf>
    <xf numFmtId="0" fontId="5" fillId="0" borderId="6" xfId="0" quotePrefix="1" applyFont="1" applyBorder="1" applyAlignment="1" applyProtection="1">
      <alignment horizontal="right" wrapText="1"/>
      <protection locked="0"/>
    </xf>
    <xf numFmtId="164" fontId="4" fillId="0" borderId="23" xfId="0" applyNumberFormat="1" applyFont="1" applyBorder="1" applyProtection="1">
      <protection locked="0"/>
    </xf>
    <xf numFmtId="164" fontId="5" fillId="0" borderId="23" xfId="0" applyNumberFormat="1" applyFont="1" applyBorder="1" applyProtection="1">
      <protection locked="0"/>
    </xf>
    <xf numFmtId="164" fontId="5" fillId="0" borderId="3" xfId="0" applyNumberFormat="1" applyFont="1" applyBorder="1" applyAlignment="1">
      <alignment horizontal="right"/>
    </xf>
    <xf numFmtId="164" fontId="4" fillId="0" borderId="3" xfId="0" applyNumberFormat="1" applyFont="1" applyBorder="1" applyProtection="1">
      <protection locked="0"/>
    </xf>
    <xf numFmtId="164" fontId="5" fillId="0" borderId="3" xfId="0" applyNumberFormat="1" applyFont="1" applyBorder="1"/>
    <xf numFmtId="164" fontId="4" fillId="0" borderId="23" xfId="0" applyNumberFormat="1" applyFont="1" applyBorder="1" applyAlignment="1" applyProtection="1">
      <alignment horizontal="right"/>
      <protection locked="0"/>
    </xf>
    <xf numFmtId="164" fontId="4" fillId="0" borderId="3" xfId="0" applyNumberFormat="1" applyFont="1" applyBorder="1" applyAlignment="1" applyProtection="1">
      <alignment horizontal="right"/>
      <protection locked="0"/>
    </xf>
    <xf numFmtId="164" fontId="4" fillId="0" borderId="22" xfId="0" applyNumberFormat="1" applyFont="1" applyBorder="1" applyAlignment="1" applyProtection="1">
      <alignment horizontal="right"/>
      <protection locked="0"/>
    </xf>
    <xf numFmtId="164" fontId="5" fillId="0" borderId="22" xfId="0" applyNumberFormat="1" applyFont="1" applyBorder="1" applyAlignment="1">
      <alignment horizontal="right"/>
    </xf>
    <xf numFmtId="164" fontId="4" fillId="0" borderId="22" xfId="0" applyNumberFormat="1" applyFont="1" applyBorder="1" applyProtection="1">
      <protection locked="0"/>
    </xf>
    <xf numFmtId="164" fontId="5" fillId="0" borderId="22" xfId="0" applyNumberFormat="1" applyFont="1" applyBorder="1"/>
    <xf numFmtId="3" fontId="2" fillId="0" borderId="19" xfId="0" quotePrefix="1" applyNumberFormat="1" applyFont="1" applyBorder="1" applyAlignment="1" applyProtection="1">
      <alignment horizontal="center" wrapText="1"/>
      <protection locked="0"/>
    </xf>
    <xf numFmtId="165" fontId="3" fillId="0" borderId="23" xfId="0" applyNumberFormat="1" applyFont="1" applyBorder="1" applyProtection="1">
      <protection locked="0"/>
    </xf>
    <xf numFmtId="165" fontId="3" fillId="0" borderId="3" xfId="0" applyNumberFormat="1" applyFont="1" applyBorder="1" applyAlignment="1">
      <alignment horizontal="right"/>
    </xf>
    <xf numFmtId="165" fontId="2" fillId="0" borderId="3" xfId="0" applyNumberFormat="1" applyFont="1" applyBorder="1" applyProtection="1">
      <protection locked="0"/>
    </xf>
    <xf numFmtId="165" fontId="3" fillId="0" borderId="3" xfId="0" applyNumberFormat="1" applyFont="1" applyBorder="1"/>
    <xf numFmtId="165" fontId="2" fillId="0" borderId="3" xfId="0" applyNumberFormat="1" applyFont="1" applyBorder="1"/>
    <xf numFmtId="164" fontId="2" fillId="0" borderId="0" xfId="0" applyNumberFormat="1" applyFont="1" applyAlignment="1" applyProtection="1">
      <alignment horizontal="left"/>
      <protection locked="0"/>
    </xf>
    <xf numFmtId="164" fontId="2" fillId="0" borderId="3" xfId="0" applyNumberFormat="1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4" fillId="0" borderId="20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0" fontId="5" fillId="0" borderId="1" xfId="0" applyFont="1" applyBorder="1" applyAlignment="1">
      <alignment horizontal="center"/>
    </xf>
    <xf numFmtId="0" fontId="4" fillId="0" borderId="27" xfId="0" applyFont="1" applyBorder="1" applyAlignment="1">
      <alignment horizontal="centerContinuous"/>
    </xf>
    <xf numFmtId="0" fontId="4" fillId="0" borderId="26" xfId="0" applyFont="1" applyBorder="1" applyAlignment="1">
      <alignment horizontal="centerContinuous"/>
    </xf>
    <xf numFmtId="0" fontId="4" fillId="0" borderId="4" xfId="0" applyFont="1" applyBorder="1" applyAlignment="1">
      <alignment horizontal="centerContinuous"/>
    </xf>
    <xf numFmtId="0" fontId="5" fillId="0" borderId="4" xfId="0" applyFont="1" applyBorder="1" applyAlignment="1">
      <alignment horizontal="center"/>
    </xf>
    <xf numFmtId="0" fontId="4" fillId="0" borderId="28" xfId="0" applyFont="1" applyBorder="1" applyAlignment="1">
      <alignment horizontal="centerContinuous"/>
    </xf>
    <xf numFmtId="0" fontId="2" fillId="0" borderId="14" xfId="0" applyFont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4" xfId="0" applyFont="1" applyBorder="1" applyProtection="1">
      <protection locked="0"/>
    </xf>
    <xf numFmtId="166" fontId="2" fillId="0" borderId="0" xfId="0" applyNumberFormat="1" applyFont="1" applyProtection="1">
      <protection locked="0"/>
    </xf>
    <xf numFmtId="164" fontId="3" fillId="0" borderId="23" xfId="0" applyNumberFormat="1" applyFont="1" applyBorder="1" applyProtection="1">
      <protection locked="0"/>
    </xf>
    <xf numFmtId="0" fontId="4" fillId="0" borderId="13" xfId="0" applyFont="1" applyBorder="1" applyAlignment="1">
      <alignment horizontal="centerContinuous"/>
    </xf>
    <xf numFmtId="0" fontId="4" fillId="0" borderId="14" xfId="0" applyFont="1" applyBorder="1" applyAlignment="1">
      <alignment horizontal="centerContinuous"/>
    </xf>
    <xf numFmtId="0" fontId="4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centerContinuous"/>
    </xf>
    <xf numFmtId="0" fontId="2" fillId="0" borderId="14" xfId="0" applyFont="1" applyBorder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left"/>
      <protection locked="0"/>
    </xf>
    <xf numFmtId="0" fontId="3" fillId="0" borderId="0" xfId="0" applyFont="1" applyProtection="1">
      <protection locked="0"/>
    </xf>
    <xf numFmtId="0" fontId="3" fillId="0" borderId="4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0" borderId="3" xfId="0" applyFont="1" applyBorder="1" applyAlignment="1" applyProtection="1">
      <alignment horizontal="left"/>
      <protection locked="0"/>
    </xf>
    <xf numFmtId="9" fontId="2" fillId="0" borderId="23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4" fontId="8" fillId="0" borderId="0" xfId="0" applyNumberFormat="1" applyFont="1" applyAlignment="1" applyProtection="1">
      <alignment horizontal="center"/>
      <protection locked="0"/>
    </xf>
    <xf numFmtId="164" fontId="8" fillId="0" borderId="14" xfId="0" applyNumberFormat="1" applyFont="1" applyBorder="1" applyAlignment="1" applyProtection="1">
      <alignment horizontal="center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9" fontId="2" fillId="0" borderId="3" xfId="0" applyNumberFormat="1" applyFont="1" applyBorder="1" applyProtection="1">
      <protection locked="0"/>
    </xf>
    <xf numFmtId="0" fontId="2" fillId="0" borderId="0" xfId="0" applyFont="1" applyAlignment="1">
      <alignment horizontal="centerContinuous"/>
    </xf>
    <xf numFmtId="164" fontId="2" fillId="0" borderId="3" xfId="0" applyNumberFormat="1" applyFont="1" applyBorder="1" applyProtection="1"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15" fontId="2" fillId="0" borderId="13" xfId="0" applyNumberFormat="1" applyFont="1" applyBorder="1" applyAlignment="1" applyProtection="1">
      <alignment horizontal="center"/>
      <protection locked="0"/>
    </xf>
    <xf numFmtId="15" fontId="2" fillId="0" borderId="3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left"/>
      <protection locked="0"/>
    </xf>
    <xf numFmtId="164" fontId="8" fillId="0" borderId="14" xfId="0" applyNumberFormat="1" applyFont="1" applyBorder="1" applyAlignment="1" applyProtection="1">
      <alignment horizontal="center"/>
      <protection locked="0"/>
    </xf>
    <xf numFmtId="164" fontId="8" fillId="0" borderId="0" xfId="0" applyNumberFormat="1" applyFont="1" applyAlignment="1" applyProtection="1">
      <alignment horizontal="center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164" fontId="4" fillId="0" borderId="14" xfId="0" applyNumberFormat="1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left"/>
      <protection locked="0"/>
    </xf>
    <xf numFmtId="15" fontId="2" fillId="0" borderId="16" xfId="0" applyNumberFormat="1" applyFont="1" applyBorder="1" applyAlignment="1" applyProtection="1">
      <alignment horizontal="center"/>
      <protection locked="0"/>
    </xf>
    <xf numFmtId="15" fontId="2" fillId="0" borderId="6" xfId="0" applyNumberFormat="1" applyFont="1" applyBorder="1" applyAlignment="1" applyProtection="1">
      <alignment horizontal="center"/>
      <protection locked="0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26" xfId="0" applyFont="1" applyBorder="1" applyAlignment="1">
      <alignment horizontal="center" wrapText="1"/>
    </xf>
    <xf numFmtId="0" fontId="2" fillId="0" borderId="8" xfId="0" applyFont="1" applyBorder="1" applyAlignment="1" applyProtection="1">
      <alignment horizontal="center" wrapText="1"/>
      <protection locked="0"/>
    </xf>
    <xf numFmtId="0" fontId="2" fillId="0" borderId="9" xfId="0" applyFont="1" applyBorder="1" applyAlignment="1" applyProtection="1">
      <alignment horizontal="center" wrapText="1"/>
      <protection locked="0"/>
    </xf>
    <xf numFmtId="0" fontId="2" fillId="0" borderId="6" xfId="0" applyFont="1" applyBorder="1" applyAlignment="1" applyProtection="1">
      <alignment horizontal="center" wrapText="1"/>
      <protection locked="0"/>
    </xf>
    <xf numFmtId="14" fontId="2" fillId="0" borderId="16" xfId="0" quotePrefix="1" applyNumberFormat="1" applyFont="1" applyBorder="1" applyAlignment="1" applyProtection="1">
      <alignment horizontal="center" wrapText="1"/>
      <protection locked="0"/>
    </xf>
    <xf numFmtId="0" fontId="2" fillId="0" borderId="6" xfId="0" quotePrefix="1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2">
    <cellStyle name="Comma [0]" xfId="1" builtinId="6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114301</xdr:rowOff>
    </xdr:from>
    <xdr:to>
      <xdr:col>4</xdr:col>
      <xdr:colOff>37229</xdr:colOff>
      <xdr:row>7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66701"/>
          <a:ext cx="989728" cy="8477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7"/>
  <sheetViews>
    <sheetView showGridLines="0" showZeros="0" tabSelected="1" topLeftCell="A19" workbookViewId="0">
      <selection activeCell="F39" sqref="F3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" x14ac:dyDescent="0.2"/>
  <cols>
    <col min="1" max="1" width="2.7109375" style="14" customWidth="1"/>
    <col min="2" max="2" width="7.7109375" style="14" customWidth="1"/>
    <col min="3" max="3" width="4.7109375" style="14" customWidth="1"/>
    <col min="4" max="4" width="2.7109375" style="14" customWidth="1"/>
    <col min="5" max="7" width="12.7109375" style="14" customWidth="1"/>
    <col min="8" max="8" width="5.140625" style="14" customWidth="1"/>
    <col min="9" max="9" width="10.7109375" style="69" hidden="1" customWidth="1"/>
    <col min="10" max="11" width="10.7109375" style="70" hidden="1" customWidth="1"/>
    <col min="12" max="12" width="10.7109375" style="69" hidden="1" customWidth="1"/>
    <col min="13" max="13" width="10.7109375" style="70" hidden="1" customWidth="1"/>
    <col min="14" max="14" width="10.7109375" style="14" customWidth="1"/>
    <col min="15" max="15" width="15.7109375" style="14" customWidth="1"/>
    <col min="16" max="17" width="10.28515625" style="14" bestFit="1" customWidth="1"/>
    <col min="18" max="16384" width="9.140625" style="14"/>
  </cols>
  <sheetData>
    <row r="1" spans="1:15" s="13" customFormat="1" x14ac:dyDescent="0.2">
      <c r="I1" s="23"/>
      <c r="J1" s="27"/>
      <c r="K1" s="27"/>
      <c r="L1" s="23"/>
      <c r="M1" s="27"/>
    </row>
    <row r="2" spans="1:15" s="13" customFormat="1" x14ac:dyDescent="0.2">
      <c r="I2" s="23"/>
      <c r="J2" s="27"/>
      <c r="K2" s="27"/>
      <c r="L2" s="23"/>
      <c r="M2" s="27"/>
      <c r="O2" s="1" t="s">
        <v>0</v>
      </c>
    </row>
    <row r="3" spans="1:15" s="13" customFormat="1" x14ac:dyDescent="0.2">
      <c r="I3" s="23"/>
      <c r="J3" s="27"/>
      <c r="K3" s="27"/>
      <c r="L3" s="23"/>
      <c r="M3" s="27"/>
      <c r="O3" s="2" t="s">
        <v>1</v>
      </c>
    </row>
    <row r="4" spans="1:15" s="13" customFormat="1" x14ac:dyDescent="0.2">
      <c r="I4" s="23"/>
      <c r="J4" s="27"/>
      <c r="K4" s="27"/>
      <c r="L4" s="23"/>
      <c r="M4" s="27"/>
      <c r="O4" s="1" t="s">
        <v>2</v>
      </c>
    </row>
    <row r="5" spans="1:15" s="13" customFormat="1" x14ac:dyDescent="0.2">
      <c r="I5" s="23"/>
      <c r="J5" s="27"/>
      <c r="K5" s="27"/>
      <c r="L5" s="23"/>
      <c r="M5" s="27"/>
      <c r="O5" s="1" t="s">
        <v>42</v>
      </c>
    </row>
    <row r="6" spans="1:15" s="13" customFormat="1" x14ac:dyDescent="0.2">
      <c r="I6" s="23"/>
      <c r="J6" s="27"/>
      <c r="K6" s="27"/>
      <c r="L6" s="23"/>
      <c r="M6" s="27"/>
      <c r="O6" s="1" t="s">
        <v>43</v>
      </c>
    </row>
    <row r="7" spans="1:15" s="13" customFormat="1" x14ac:dyDescent="0.2">
      <c r="I7" s="23"/>
      <c r="J7" s="27"/>
      <c r="K7" s="27"/>
      <c r="L7" s="23"/>
      <c r="M7" s="27"/>
      <c r="O7" s="1" t="s">
        <v>32</v>
      </c>
    </row>
    <row r="8" spans="1:15" s="13" customFormat="1" x14ac:dyDescent="0.2">
      <c r="I8" s="23"/>
      <c r="J8" s="27"/>
      <c r="K8" s="27"/>
      <c r="L8" s="23"/>
      <c r="M8" s="27"/>
      <c r="O8" s="1" t="s">
        <v>31</v>
      </c>
    </row>
    <row r="9" spans="1:15" s="13" customFormat="1" x14ac:dyDescent="0.2">
      <c r="I9" s="23"/>
      <c r="J9" s="27"/>
      <c r="K9" s="27"/>
      <c r="L9" s="23"/>
      <c r="M9" s="27"/>
      <c r="O9" s="1"/>
    </row>
    <row r="10" spans="1:15" s="13" customFormat="1" ht="13.5" customHeight="1" x14ac:dyDescent="0.2">
      <c r="I10" s="23"/>
      <c r="J10" s="27"/>
      <c r="K10" s="27"/>
      <c r="L10" s="23"/>
      <c r="M10" s="27"/>
    </row>
    <row r="11" spans="1:15" s="43" customFormat="1" ht="13.5" customHeight="1" x14ac:dyDescent="0.2">
      <c r="A11" s="52" t="s">
        <v>26</v>
      </c>
      <c r="B11" s="56"/>
      <c r="C11" s="50"/>
      <c r="D11" s="50"/>
      <c r="E11" s="51"/>
      <c r="H11" s="52" t="s">
        <v>27</v>
      </c>
      <c r="I11" s="63"/>
      <c r="J11" s="64"/>
      <c r="K11" s="64"/>
      <c r="L11" s="63"/>
      <c r="M11" s="64"/>
      <c r="N11" s="50"/>
      <c r="O11" s="51"/>
    </row>
    <row r="12" spans="1:15" s="43" customFormat="1" ht="13.5" customHeight="1" x14ac:dyDescent="0.2">
      <c r="A12" s="46"/>
      <c r="B12" s="54"/>
      <c r="C12" s="44"/>
      <c r="E12" s="45"/>
      <c r="H12" s="101"/>
      <c r="I12" s="14"/>
      <c r="J12" s="115"/>
      <c r="K12" s="66"/>
      <c r="L12" s="65"/>
      <c r="M12" s="66"/>
      <c r="O12" s="45"/>
    </row>
    <row r="13" spans="1:15" s="43" customFormat="1" ht="13.5" customHeight="1" x14ac:dyDescent="0.2">
      <c r="A13" s="46" t="s">
        <v>51</v>
      </c>
      <c r="E13" s="45"/>
      <c r="H13" s="101" t="s">
        <v>52</v>
      </c>
      <c r="I13" s="14"/>
      <c r="J13" s="115"/>
      <c r="K13" s="31"/>
      <c r="L13" s="65"/>
      <c r="M13" s="66"/>
      <c r="O13" s="45"/>
    </row>
    <row r="14" spans="1:15" s="43" customFormat="1" ht="13.5" customHeight="1" x14ac:dyDescent="0.2">
      <c r="A14" s="46" t="s">
        <v>58</v>
      </c>
      <c r="E14" s="57"/>
      <c r="F14" s="55"/>
      <c r="H14" s="101" t="s">
        <v>53</v>
      </c>
      <c r="I14" s="14"/>
      <c r="J14" s="115"/>
      <c r="K14" s="31"/>
      <c r="L14" s="65"/>
      <c r="M14" s="66"/>
      <c r="O14" s="45"/>
    </row>
    <row r="15" spans="1:15" s="43" customFormat="1" ht="13.5" customHeight="1" x14ac:dyDescent="0.2">
      <c r="A15" s="46"/>
      <c r="B15" s="53"/>
      <c r="E15" s="45"/>
      <c r="H15" s="101" t="s">
        <v>54</v>
      </c>
      <c r="I15" s="14"/>
      <c r="J15" s="115"/>
      <c r="K15" s="31"/>
      <c r="L15" s="65"/>
      <c r="M15" s="66"/>
      <c r="O15" s="45"/>
    </row>
    <row r="16" spans="1:15" s="43" customFormat="1" ht="13.5" customHeight="1" x14ac:dyDescent="0.2">
      <c r="A16" s="49"/>
      <c r="B16" s="47"/>
      <c r="C16" s="47"/>
      <c r="D16" s="47"/>
      <c r="E16" s="48"/>
      <c r="H16" s="102" t="s">
        <v>55</v>
      </c>
      <c r="I16" s="103"/>
      <c r="J16" s="116"/>
      <c r="K16" s="92"/>
      <c r="L16" s="67"/>
      <c r="M16" s="68"/>
      <c r="N16" s="47"/>
      <c r="O16" s="48"/>
    </row>
    <row r="17" spans="1:15" ht="13.5" customHeight="1" thickBot="1" x14ac:dyDescent="0.25"/>
    <row r="18" spans="1:15" s="23" customFormat="1" ht="13.5" customHeight="1" x14ac:dyDescent="0.2">
      <c r="A18" s="150" t="s">
        <v>3</v>
      </c>
      <c r="B18" s="151"/>
      <c r="C18" s="151"/>
      <c r="D18" s="151"/>
      <c r="E18" s="148" t="s">
        <v>45</v>
      </c>
      <c r="F18" s="148"/>
      <c r="G18" s="16" t="s">
        <v>4</v>
      </c>
      <c r="H18" s="17"/>
      <c r="I18" s="18"/>
      <c r="J18" s="19"/>
      <c r="K18" s="19"/>
      <c r="L18" s="17"/>
      <c r="M18" s="20"/>
      <c r="N18" s="21" t="s">
        <v>5</v>
      </c>
      <c r="O18" s="22" t="s">
        <v>24</v>
      </c>
    </row>
    <row r="19" spans="1:15" s="23" customFormat="1" ht="13.5" customHeight="1" x14ac:dyDescent="0.2">
      <c r="A19" s="152" t="s">
        <v>7</v>
      </c>
      <c r="B19" s="149"/>
      <c r="C19" s="149"/>
      <c r="D19" s="149"/>
      <c r="E19" s="149" t="s">
        <v>44</v>
      </c>
      <c r="F19" s="149"/>
      <c r="G19" s="24" t="s">
        <v>8</v>
      </c>
      <c r="H19" s="25"/>
      <c r="J19" s="27"/>
      <c r="K19" s="27"/>
      <c r="M19" s="27"/>
      <c r="N19" s="26" t="s">
        <v>9</v>
      </c>
      <c r="O19" s="28" t="s">
        <v>25</v>
      </c>
    </row>
    <row r="20" spans="1:15" ht="13.5" customHeight="1" x14ac:dyDescent="0.2">
      <c r="A20" s="153" t="s">
        <v>61</v>
      </c>
      <c r="B20" s="154"/>
      <c r="C20" s="154"/>
      <c r="D20" s="155"/>
      <c r="E20" s="156">
        <v>45868</v>
      </c>
      <c r="F20" s="157"/>
      <c r="G20" s="146">
        <v>45841</v>
      </c>
      <c r="H20" s="147"/>
      <c r="I20" s="71"/>
      <c r="J20" s="72"/>
      <c r="K20" s="72"/>
      <c r="L20" s="71"/>
      <c r="M20" s="72"/>
      <c r="N20" s="29">
        <v>45843</v>
      </c>
      <c r="O20" s="84">
        <v>251527287</v>
      </c>
    </row>
    <row r="21" spans="1:15" s="23" customFormat="1" ht="13.5" customHeight="1" x14ac:dyDescent="0.2">
      <c r="A21" s="93" t="s">
        <v>10</v>
      </c>
      <c r="B21" s="94"/>
      <c r="C21" s="94" t="s">
        <v>11</v>
      </c>
      <c r="D21" s="94"/>
      <c r="E21" s="158" t="s">
        <v>12</v>
      </c>
      <c r="F21" s="158"/>
      <c r="G21" s="158"/>
      <c r="H21" s="61" t="s">
        <v>28</v>
      </c>
      <c r="I21" s="61" t="s">
        <v>6</v>
      </c>
      <c r="J21" s="95" t="s">
        <v>13</v>
      </c>
      <c r="K21" s="95" t="s">
        <v>13</v>
      </c>
      <c r="L21" s="61" t="s">
        <v>6</v>
      </c>
      <c r="M21" s="95" t="s">
        <v>13</v>
      </c>
      <c r="N21" s="94" t="s">
        <v>6</v>
      </c>
      <c r="O21" s="96" t="s">
        <v>22</v>
      </c>
    </row>
    <row r="22" spans="1:15" s="23" customFormat="1" ht="13.5" customHeight="1" x14ac:dyDescent="0.2">
      <c r="A22" s="97" t="s">
        <v>14</v>
      </c>
      <c r="B22" s="98"/>
      <c r="C22" s="98" t="s">
        <v>15</v>
      </c>
      <c r="D22" s="98"/>
      <c r="E22" s="159" t="s">
        <v>16</v>
      </c>
      <c r="F22" s="159"/>
      <c r="G22" s="159"/>
      <c r="H22" s="62" t="s">
        <v>30</v>
      </c>
      <c r="I22" s="62" t="s">
        <v>17</v>
      </c>
      <c r="J22" s="99" t="s">
        <v>36</v>
      </c>
      <c r="K22" s="99" t="s">
        <v>37</v>
      </c>
      <c r="L22" s="62" t="s">
        <v>18</v>
      </c>
      <c r="M22" s="99" t="s">
        <v>19</v>
      </c>
      <c r="N22" s="98" t="s">
        <v>20</v>
      </c>
      <c r="O22" s="100" t="s">
        <v>23</v>
      </c>
    </row>
    <row r="23" spans="1:15" s="23" customFormat="1" ht="13.5" customHeight="1" x14ac:dyDescent="0.2">
      <c r="A23" s="106"/>
      <c r="B23" s="25"/>
      <c r="C23" s="107"/>
      <c r="D23" s="25"/>
      <c r="E23" s="134"/>
      <c r="F23" s="135"/>
      <c r="G23" s="136"/>
      <c r="H23" s="3"/>
      <c r="I23" s="108"/>
      <c r="J23" s="85">
        <f t="shared" ref="J23:J25" si="0">IF(H23=10%, C23*I23, 0)</f>
        <v>0</v>
      </c>
      <c r="K23" s="86">
        <f t="shared" ref="K23:K25" si="1">IF(H23=21%, C23*I23, 0)</f>
        <v>0</v>
      </c>
      <c r="L23" s="87"/>
      <c r="M23" s="88">
        <f t="shared" ref="M23:M29" si="2">SUM(L23*C23)</f>
        <v>0</v>
      </c>
      <c r="N23" s="89">
        <f t="shared" ref="N23:N25" si="3">SUM(I23+L23)</f>
        <v>0</v>
      </c>
      <c r="O23" s="6">
        <f t="shared" ref="O23:O29" si="4">SUM(J23+K23+M23)</f>
        <v>0</v>
      </c>
    </row>
    <row r="24" spans="1:15" s="23" customFormat="1" ht="13.5" customHeight="1" x14ac:dyDescent="0.2">
      <c r="A24" s="106"/>
      <c r="B24" s="25"/>
      <c r="C24" s="109">
        <v>-1</v>
      </c>
      <c r="D24" s="25"/>
      <c r="E24" s="110" t="s">
        <v>59</v>
      </c>
      <c r="F24" s="31"/>
      <c r="G24" s="111"/>
      <c r="H24" s="3">
        <v>0.1</v>
      </c>
      <c r="I24" s="87">
        <v>1081.3499999999999</v>
      </c>
      <c r="J24" s="85">
        <f t="shared" ref="J24" si="5">IF(H24=10%, C24*I24, 0)</f>
        <v>-1081.3499999999999</v>
      </c>
      <c r="K24" s="86">
        <f t="shared" ref="K24" si="6">IF(H24=21%, C24*I24, 0)</f>
        <v>0</v>
      </c>
      <c r="L24" s="87"/>
      <c r="M24" s="88">
        <f t="shared" ref="M24" si="7">SUM(L24*C24)</f>
        <v>0</v>
      </c>
      <c r="N24" s="89">
        <f t="shared" ref="N24" si="8">SUM(I24+L24)</f>
        <v>1081.3499999999999</v>
      </c>
      <c r="O24" s="6">
        <f t="shared" ref="O24" si="9">SUM(J24+K24+M24)</f>
        <v>-1081.3499999999999</v>
      </c>
    </row>
    <row r="25" spans="1:15" s="23" customFormat="1" ht="13.5" customHeight="1" x14ac:dyDescent="0.2">
      <c r="A25" s="132">
        <v>45841</v>
      </c>
      <c r="B25" s="133"/>
      <c r="C25" s="30">
        <v>3</v>
      </c>
      <c r="D25" s="15"/>
      <c r="E25" s="110" t="s">
        <v>56</v>
      </c>
      <c r="F25" s="117"/>
      <c r="G25" s="118"/>
      <c r="H25" s="119">
        <v>0.1</v>
      </c>
      <c r="I25" s="87">
        <v>210</v>
      </c>
      <c r="J25" s="85">
        <f t="shared" si="0"/>
        <v>630</v>
      </c>
      <c r="K25" s="86">
        <f t="shared" si="1"/>
        <v>0</v>
      </c>
      <c r="L25" s="87"/>
      <c r="M25" s="88">
        <f t="shared" si="2"/>
        <v>0</v>
      </c>
      <c r="N25" s="89">
        <f t="shared" si="3"/>
        <v>210</v>
      </c>
      <c r="O25" s="6">
        <f t="shared" si="4"/>
        <v>630</v>
      </c>
    </row>
    <row r="26" spans="1:15" s="23" customFormat="1" ht="13.5" customHeight="1" x14ac:dyDescent="0.2">
      <c r="A26" s="58"/>
      <c r="B26" s="59"/>
      <c r="C26" s="30">
        <v>1</v>
      </c>
      <c r="D26" s="14"/>
      <c r="E26" s="110" t="s">
        <v>60</v>
      </c>
      <c r="F26" s="117"/>
      <c r="G26" s="118"/>
      <c r="H26" s="119">
        <v>0.1</v>
      </c>
      <c r="I26" s="87">
        <v>210</v>
      </c>
      <c r="J26" s="85">
        <f t="shared" ref="J26" si="10">IF(H26=10%, C26*I26, 0)</f>
        <v>210</v>
      </c>
      <c r="K26" s="86">
        <f t="shared" ref="K26" si="11">IF(H26=21%, C26*I26, 0)</f>
        <v>0</v>
      </c>
      <c r="L26" s="87"/>
      <c r="M26" s="88">
        <f t="shared" ref="M26" si="12">SUM(L26*C26)</f>
        <v>0</v>
      </c>
      <c r="N26" s="89">
        <f t="shared" ref="N26" si="13">SUM(I26+L26)</f>
        <v>210</v>
      </c>
      <c r="O26" s="6">
        <f t="shared" ref="O26" si="14">SUM(J26+K26+M26)</f>
        <v>210</v>
      </c>
    </row>
    <row r="27" spans="1:15" s="23" customFormat="1" ht="13.5" customHeight="1" x14ac:dyDescent="0.2">
      <c r="A27" s="132"/>
      <c r="B27" s="133"/>
      <c r="C27" s="109">
        <v>3</v>
      </c>
      <c r="D27" s="25"/>
      <c r="E27" s="134" t="s">
        <v>57</v>
      </c>
      <c r="F27" s="135"/>
      <c r="G27" s="136"/>
      <c r="H27" s="3">
        <v>0.1</v>
      </c>
      <c r="I27" s="4">
        <v>6.27</v>
      </c>
      <c r="J27" s="85">
        <f t="shared" ref="J27:J32" si="15">IF(H27=10%, C27*I27, 0)</f>
        <v>18.809999999999999</v>
      </c>
      <c r="K27" s="86">
        <f t="shared" ref="K27:K32" si="16">IF(H27=21%, C27*I27, 0)</f>
        <v>0</v>
      </c>
      <c r="L27" s="87"/>
      <c r="M27" s="88">
        <f t="shared" si="2"/>
        <v>0</v>
      </c>
      <c r="N27" s="89">
        <f t="shared" ref="N27:N32" si="17">SUM(I27+L27)</f>
        <v>6.27</v>
      </c>
      <c r="O27" s="6">
        <f t="shared" si="4"/>
        <v>18.809999999999999</v>
      </c>
    </row>
    <row r="28" spans="1:15" s="23" customFormat="1" ht="13.5" customHeight="1" x14ac:dyDescent="0.2">
      <c r="A28" s="58"/>
      <c r="B28" s="59"/>
      <c r="C28" s="128"/>
      <c r="D28" s="25"/>
      <c r="E28" s="110"/>
      <c r="F28" s="31"/>
      <c r="G28" s="111"/>
      <c r="H28" s="3"/>
      <c r="I28" s="129"/>
      <c r="J28" s="85"/>
      <c r="K28" s="86"/>
      <c r="L28" s="87"/>
      <c r="M28" s="88"/>
      <c r="N28" s="89"/>
      <c r="O28" s="6"/>
    </row>
    <row r="29" spans="1:15" s="23" customFormat="1" ht="13.5" customHeight="1" x14ac:dyDescent="0.2">
      <c r="A29" s="132"/>
      <c r="B29" s="133"/>
      <c r="C29" s="30"/>
      <c r="D29" s="15"/>
      <c r="E29" s="110"/>
      <c r="F29" s="31"/>
      <c r="G29" s="111"/>
      <c r="H29" s="119"/>
      <c r="I29" s="87"/>
      <c r="J29" s="85">
        <f t="shared" si="15"/>
        <v>0</v>
      </c>
      <c r="K29" s="86">
        <f t="shared" si="16"/>
        <v>0</v>
      </c>
      <c r="L29" s="87"/>
      <c r="M29" s="88">
        <f t="shared" si="2"/>
        <v>0</v>
      </c>
      <c r="N29" s="89">
        <f t="shared" si="17"/>
        <v>0</v>
      </c>
      <c r="O29" s="6">
        <f t="shared" si="4"/>
        <v>0</v>
      </c>
    </row>
    <row r="30" spans="1:15" s="23" customFormat="1" ht="13.5" customHeight="1" x14ac:dyDescent="0.2">
      <c r="A30" s="132"/>
      <c r="B30" s="133"/>
      <c r="C30" s="30"/>
      <c r="D30" s="15"/>
      <c r="E30" s="110"/>
      <c r="F30" s="117"/>
      <c r="G30" s="118"/>
      <c r="H30" s="119"/>
      <c r="I30" s="87"/>
      <c r="J30" s="85">
        <f t="shared" si="15"/>
        <v>0</v>
      </c>
      <c r="K30" s="86">
        <f t="shared" si="16"/>
        <v>0</v>
      </c>
      <c r="L30" s="87"/>
      <c r="M30" s="88">
        <f t="shared" ref="M30:M31" si="18">SUM(L30*C30)</f>
        <v>0</v>
      </c>
      <c r="N30" s="89">
        <f t="shared" ref="N30" si="19">SUM(I30+L30)</f>
        <v>0</v>
      </c>
      <c r="O30" s="6">
        <f t="shared" ref="O30:O31" si="20">SUM(J30+K30+M30)</f>
        <v>0</v>
      </c>
    </row>
    <row r="31" spans="1:15" ht="13.5" customHeight="1" x14ac:dyDescent="0.2">
      <c r="A31" s="132"/>
      <c r="B31" s="133"/>
      <c r="C31" s="109"/>
      <c r="D31" s="25"/>
      <c r="E31" s="134"/>
      <c r="F31" s="135"/>
      <c r="G31" s="136"/>
      <c r="H31" s="3"/>
      <c r="I31" s="4"/>
      <c r="J31" s="85">
        <f t="shared" ref="J31" si="21">IF(H31=10%, C31*I31, 0)</f>
        <v>0</v>
      </c>
      <c r="K31" s="86">
        <f t="shared" ref="K31" si="22">IF(H31=21%, C31*I31, 0)</f>
        <v>0</v>
      </c>
      <c r="L31" s="87"/>
      <c r="M31" s="88">
        <f t="shared" si="18"/>
        <v>0</v>
      </c>
      <c r="N31" s="89">
        <f t="shared" ref="N31" si="23">SUM(I31+L31)</f>
        <v>0</v>
      </c>
      <c r="O31" s="6">
        <f t="shared" si="20"/>
        <v>0</v>
      </c>
    </row>
    <row r="32" spans="1:15" ht="13.5" customHeight="1" x14ac:dyDescent="0.2">
      <c r="A32" s="132"/>
      <c r="B32" s="133"/>
      <c r="C32" s="30"/>
      <c r="D32" s="15"/>
      <c r="E32" s="110"/>
      <c r="F32" s="31"/>
      <c r="G32" s="111"/>
      <c r="H32" s="119"/>
      <c r="I32" s="87"/>
      <c r="J32" s="85">
        <f t="shared" si="15"/>
        <v>0</v>
      </c>
      <c r="K32" s="86">
        <f t="shared" si="16"/>
        <v>0</v>
      </c>
      <c r="L32" s="87"/>
      <c r="M32" s="88">
        <f t="shared" ref="M32:M51" si="24">SUM(L32*C32)</f>
        <v>0</v>
      </c>
      <c r="N32" s="89">
        <f t="shared" si="17"/>
        <v>0</v>
      </c>
      <c r="O32" s="6">
        <f t="shared" ref="O32:O34" si="25">SUM(J32+K32+M32)</f>
        <v>0</v>
      </c>
    </row>
    <row r="33" spans="1:17" ht="13.5" customHeight="1" x14ac:dyDescent="0.2">
      <c r="A33" s="132"/>
      <c r="B33" s="133"/>
      <c r="C33" s="30"/>
      <c r="D33" s="15"/>
      <c r="E33" s="110"/>
      <c r="F33" s="117"/>
      <c r="G33" s="118"/>
      <c r="H33" s="119"/>
      <c r="I33" s="87"/>
      <c r="J33" s="85">
        <f t="shared" ref="J33:J34" si="26">IF(H33=10%, C33*I33, 0)</f>
        <v>0</v>
      </c>
      <c r="K33" s="86">
        <f t="shared" ref="K33:K34" si="27">IF(H33=21%, C33*I33, 0)</f>
        <v>0</v>
      </c>
      <c r="L33" s="87"/>
      <c r="M33" s="88">
        <f t="shared" ref="M33:M34" si="28">SUM(L33*C33)</f>
        <v>0</v>
      </c>
      <c r="N33" s="89">
        <f t="shared" ref="N33" si="29">SUM(I33+L33)</f>
        <v>0</v>
      </c>
      <c r="O33" s="6">
        <f t="shared" si="25"/>
        <v>0</v>
      </c>
    </row>
    <row r="34" spans="1:17" ht="13.5" customHeight="1" x14ac:dyDescent="0.2">
      <c r="A34" s="132"/>
      <c r="B34" s="133"/>
      <c r="C34" s="109"/>
      <c r="D34" s="25"/>
      <c r="E34" s="134"/>
      <c r="F34" s="135"/>
      <c r="G34" s="136"/>
      <c r="H34" s="3"/>
      <c r="I34" s="4"/>
      <c r="J34" s="85">
        <f t="shared" si="26"/>
        <v>0</v>
      </c>
      <c r="K34" s="86">
        <f t="shared" si="27"/>
        <v>0</v>
      </c>
      <c r="L34" s="87"/>
      <c r="M34" s="88">
        <f t="shared" si="28"/>
        <v>0</v>
      </c>
      <c r="N34" s="89">
        <f t="shared" ref="N34" si="30">SUM(I34+L34)</f>
        <v>0</v>
      </c>
      <c r="O34" s="6">
        <f t="shared" si="25"/>
        <v>0</v>
      </c>
    </row>
    <row r="35" spans="1:17" ht="13.5" customHeight="1" x14ac:dyDescent="0.2">
      <c r="A35" s="58"/>
      <c r="B35" s="59"/>
      <c r="C35" s="30"/>
      <c r="E35" s="110"/>
      <c r="F35" s="31"/>
      <c r="G35" s="111"/>
      <c r="H35" s="127"/>
      <c r="I35" s="87"/>
      <c r="J35" s="85">
        <f t="shared" ref="J35:J36" si="31">IF(H35=10%, C35*I35, 0)</f>
        <v>0</v>
      </c>
      <c r="K35" s="86">
        <f t="shared" ref="K35:K36" si="32">IF(H35=21%, C35*I35, 0)</f>
        <v>0</v>
      </c>
      <c r="L35" s="87"/>
      <c r="M35" s="88">
        <f t="shared" ref="M35:M36" si="33">SUM(L35*C35)</f>
        <v>0</v>
      </c>
      <c r="N35" s="89">
        <f t="shared" ref="N35:N36" si="34">SUM(I35+L35)</f>
        <v>0</v>
      </c>
      <c r="O35" s="6">
        <f t="shared" ref="O35:O36" si="35">SUM(J35+K35+M35)</f>
        <v>0</v>
      </c>
    </row>
    <row r="36" spans="1:17" ht="13.5" customHeight="1" x14ac:dyDescent="0.2">
      <c r="A36" s="132"/>
      <c r="B36" s="133"/>
      <c r="C36" s="30"/>
      <c r="E36" s="60"/>
      <c r="F36" s="117"/>
      <c r="G36" s="118"/>
      <c r="H36" s="127"/>
      <c r="I36" s="87"/>
      <c r="J36" s="85">
        <f t="shared" si="31"/>
        <v>0</v>
      </c>
      <c r="K36" s="86">
        <f t="shared" si="32"/>
        <v>0</v>
      </c>
      <c r="L36" s="87"/>
      <c r="M36" s="88">
        <f t="shared" si="33"/>
        <v>0</v>
      </c>
      <c r="N36" s="89">
        <f t="shared" si="34"/>
        <v>0</v>
      </c>
      <c r="O36" s="6">
        <f t="shared" si="35"/>
        <v>0</v>
      </c>
    </row>
    <row r="37" spans="1:17" ht="13.5" customHeight="1" x14ac:dyDescent="0.2">
      <c r="A37" s="58"/>
      <c r="B37" s="59"/>
      <c r="C37" s="109"/>
      <c r="D37" s="25"/>
      <c r="E37" s="134"/>
      <c r="F37" s="135"/>
      <c r="G37" s="136"/>
      <c r="H37" s="8"/>
      <c r="I37" s="4"/>
      <c r="J37" s="85">
        <f t="shared" ref="J37:J46" si="36">IF(H37=10%, C37*I37, 0)</f>
        <v>0</v>
      </c>
      <c r="K37" s="86">
        <f t="shared" ref="K37:K46" si="37">IF(H37=21%, C37*I37, 0)</f>
        <v>0</v>
      </c>
      <c r="L37" s="87"/>
      <c r="M37" s="88">
        <f t="shared" si="24"/>
        <v>0</v>
      </c>
      <c r="N37" s="89">
        <f t="shared" ref="N37:N46" si="38">SUM(I37+L37)</f>
        <v>0</v>
      </c>
      <c r="O37" s="6">
        <f>SUM(J37+K37+M37)</f>
        <v>0</v>
      </c>
    </row>
    <row r="38" spans="1:17" ht="13.5" customHeight="1" x14ac:dyDescent="0.2">
      <c r="A38" s="58"/>
      <c r="B38" s="59"/>
      <c r="C38" s="30"/>
      <c r="E38" s="60"/>
      <c r="F38" s="31"/>
      <c r="G38" s="111"/>
      <c r="H38" s="127"/>
      <c r="I38" s="87"/>
      <c r="J38" s="85">
        <f t="shared" si="36"/>
        <v>0</v>
      </c>
      <c r="K38" s="86">
        <f t="shared" si="37"/>
        <v>0</v>
      </c>
      <c r="L38" s="87"/>
      <c r="M38" s="88">
        <f t="shared" si="24"/>
        <v>0</v>
      </c>
      <c r="N38" s="89">
        <f t="shared" si="38"/>
        <v>0</v>
      </c>
      <c r="O38" s="6">
        <f t="shared" ref="O38:O51" si="39">SUM(J38+K38+M38)</f>
        <v>0</v>
      </c>
    </row>
    <row r="39" spans="1:17" ht="13.5" customHeight="1" x14ac:dyDescent="0.2">
      <c r="A39" s="132"/>
      <c r="B39" s="133"/>
      <c r="C39" s="30"/>
      <c r="E39" s="112"/>
      <c r="F39" s="130"/>
      <c r="G39" s="131"/>
      <c r="H39" s="127"/>
      <c r="I39" s="87"/>
      <c r="J39" s="85">
        <f t="shared" si="36"/>
        <v>0</v>
      </c>
      <c r="K39" s="86">
        <f t="shared" si="37"/>
        <v>0</v>
      </c>
      <c r="L39" s="87"/>
      <c r="M39" s="88">
        <f t="shared" si="24"/>
        <v>0</v>
      </c>
      <c r="N39" s="89">
        <f t="shared" si="38"/>
        <v>0</v>
      </c>
      <c r="O39" s="6">
        <f t="shared" si="39"/>
        <v>0</v>
      </c>
    </row>
    <row r="40" spans="1:17" ht="13.5" customHeight="1" x14ac:dyDescent="0.2">
      <c r="A40" s="58"/>
      <c r="B40" s="59"/>
      <c r="C40" s="109"/>
      <c r="D40" s="25"/>
      <c r="E40" s="143"/>
      <c r="F40" s="144"/>
      <c r="G40" s="145"/>
      <c r="H40" s="8"/>
      <c r="I40" s="4"/>
      <c r="J40" s="85">
        <f t="shared" si="36"/>
        <v>0</v>
      </c>
      <c r="K40" s="86">
        <f t="shared" si="37"/>
        <v>0</v>
      </c>
      <c r="L40" s="87"/>
      <c r="M40" s="88">
        <f t="shared" si="24"/>
        <v>0</v>
      </c>
      <c r="N40" s="89">
        <f t="shared" si="38"/>
        <v>0</v>
      </c>
      <c r="O40" s="6">
        <f t="shared" si="39"/>
        <v>0</v>
      </c>
    </row>
    <row r="41" spans="1:17" ht="13.5" customHeight="1" x14ac:dyDescent="0.2">
      <c r="A41" s="132"/>
      <c r="B41" s="133"/>
      <c r="C41" s="30"/>
      <c r="D41" s="15"/>
      <c r="E41" s="134"/>
      <c r="F41" s="135"/>
      <c r="G41" s="136"/>
      <c r="H41" s="3"/>
      <c r="I41" s="7"/>
      <c r="J41" s="85">
        <f t="shared" si="36"/>
        <v>0</v>
      </c>
      <c r="K41" s="86">
        <f t="shared" si="37"/>
        <v>0</v>
      </c>
      <c r="L41" s="87"/>
      <c r="M41" s="88">
        <f t="shared" si="24"/>
        <v>0</v>
      </c>
      <c r="N41" s="89">
        <f t="shared" si="38"/>
        <v>0</v>
      </c>
      <c r="O41" s="6">
        <f t="shared" si="39"/>
        <v>0</v>
      </c>
    </row>
    <row r="42" spans="1:17" ht="13.5" customHeight="1" x14ac:dyDescent="0.2">
      <c r="A42" s="132"/>
      <c r="B42" s="133"/>
      <c r="C42" s="30"/>
      <c r="D42" s="15"/>
      <c r="E42" s="134"/>
      <c r="F42" s="135"/>
      <c r="G42" s="136"/>
      <c r="H42" s="3"/>
      <c r="I42" s="7"/>
      <c r="J42" s="85">
        <f t="shared" si="36"/>
        <v>0</v>
      </c>
      <c r="K42" s="86">
        <f t="shared" si="37"/>
        <v>0</v>
      </c>
      <c r="L42" s="87"/>
      <c r="M42" s="88">
        <f t="shared" si="24"/>
        <v>0</v>
      </c>
      <c r="N42" s="89">
        <f t="shared" si="38"/>
        <v>0</v>
      </c>
      <c r="O42" s="6">
        <f t="shared" si="39"/>
        <v>0</v>
      </c>
    </row>
    <row r="43" spans="1:17" ht="13.5" customHeight="1" x14ac:dyDescent="0.2">
      <c r="A43" s="132"/>
      <c r="B43" s="133"/>
      <c r="C43" s="30"/>
      <c r="D43" s="15"/>
      <c r="E43" s="124"/>
      <c r="F43" s="125"/>
      <c r="G43" s="126"/>
      <c r="H43" s="3"/>
      <c r="I43" s="4"/>
      <c r="J43" s="85">
        <f t="shared" si="36"/>
        <v>0</v>
      </c>
      <c r="K43" s="86">
        <f t="shared" si="37"/>
        <v>0</v>
      </c>
      <c r="L43" s="87"/>
      <c r="M43" s="88">
        <f t="shared" si="24"/>
        <v>0</v>
      </c>
      <c r="N43" s="89">
        <f t="shared" si="38"/>
        <v>0</v>
      </c>
      <c r="O43" s="6">
        <f t="shared" si="39"/>
        <v>0</v>
      </c>
    </row>
    <row r="44" spans="1:17" ht="13.5" customHeight="1" x14ac:dyDescent="0.2">
      <c r="A44" s="132"/>
      <c r="B44" s="133"/>
      <c r="C44" s="30"/>
      <c r="E44" s="122"/>
      <c r="F44" s="121"/>
      <c r="G44" s="123"/>
      <c r="H44" s="8"/>
      <c r="I44" s="7"/>
      <c r="J44" s="85">
        <f t="shared" si="36"/>
        <v>0</v>
      </c>
      <c r="K44" s="86">
        <f t="shared" si="37"/>
        <v>0</v>
      </c>
      <c r="L44" s="87"/>
      <c r="M44" s="88">
        <f t="shared" si="24"/>
        <v>0</v>
      </c>
      <c r="N44" s="89">
        <f t="shared" si="38"/>
        <v>0</v>
      </c>
      <c r="O44" s="6">
        <f t="shared" si="39"/>
        <v>0</v>
      </c>
    </row>
    <row r="45" spans="1:17" ht="13.5" customHeight="1" x14ac:dyDescent="0.2">
      <c r="A45" s="132"/>
      <c r="B45" s="133"/>
      <c r="C45" s="30"/>
      <c r="E45" s="124"/>
      <c r="F45" s="125"/>
      <c r="G45" s="126"/>
      <c r="H45" s="8"/>
      <c r="I45" s="7"/>
      <c r="J45" s="85">
        <f t="shared" si="36"/>
        <v>0</v>
      </c>
      <c r="K45" s="86">
        <f t="shared" si="37"/>
        <v>0</v>
      </c>
      <c r="L45" s="87"/>
      <c r="M45" s="88">
        <f t="shared" si="24"/>
        <v>0</v>
      </c>
      <c r="N45" s="89">
        <f t="shared" si="38"/>
        <v>0</v>
      </c>
      <c r="O45" s="6">
        <f t="shared" si="39"/>
        <v>0</v>
      </c>
    </row>
    <row r="46" spans="1:17" ht="13.5" customHeight="1" x14ac:dyDescent="0.2">
      <c r="A46" s="132"/>
      <c r="B46" s="133"/>
      <c r="C46" s="30"/>
      <c r="E46" s="137"/>
      <c r="F46" s="138"/>
      <c r="G46" s="139"/>
      <c r="H46" s="8"/>
      <c r="I46" s="4"/>
      <c r="J46" s="85">
        <f t="shared" si="36"/>
        <v>0</v>
      </c>
      <c r="K46" s="86">
        <f t="shared" si="37"/>
        <v>0</v>
      </c>
      <c r="L46" s="87"/>
      <c r="M46" s="88">
        <f t="shared" si="24"/>
        <v>0</v>
      </c>
      <c r="N46" s="89">
        <f t="shared" si="38"/>
        <v>0</v>
      </c>
      <c r="O46" s="6">
        <f t="shared" si="39"/>
        <v>0</v>
      </c>
      <c r="P46" s="120"/>
    </row>
    <row r="47" spans="1:17" ht="13.5" customHeight="1" x14ac:dyDescent="0.2">
      <c r="A47" s="132"/>
      <c r="B47" s="133"/>
      <c r="C47" s="30"/>
      <c r="E47" s="101"/>
      <c r="G47" s="15"/>
      <c r="H47" s="8"/>
      <c r="I47" s="7"/>
      <c r="J47" s="105">
        <f t="shared" ref="J47:J50" si="40">IF(H47=10%, C47*I47, 0)</f>
        <v>0</v>
      </c>
      <c r="K47" s="75">
        <f t="shared" ref="K47:K50" si="41">IF(H47=21%, C47*I47, 0)</f>
        <v>0</v>
      </c>
      <c r="L47" s="76"/>
      <c r="M47" s="77">
        <f t="shared" si="24"/>
        <v>0</v>
      </c>
      <c r="N47" s="5">
        <f t="shared" ref="N47:N51" si="42">SUM(I47+L47)</f>
        <v>0</v>
      </c>
      <c r="O47" s="6">
        <f t="shared" si="39"/>
        <v>0</v>
      </c>
      <c r="Q47" s="120"/>
    </row>
    <row r="48" spans="1:17" ht="13.5" customHeight="1" x14ac:dyDescent="0.2">
      <c r="A48" s="58"/>
      <c r="B48" s="59"/>
      <c r="C48" s="30"/>
      <c r="E48" s="60"/>
      <c r="F48" s="90"/>
      <c r="G48" s="91"/>
      <c r="H48" s="8"/>
      <c r="I48" s="7"/>
      <c r="J48" s="74">
        <f>IF(H48=10%, C48*I48, 0)</f>
        <v>0</v>
      </c>
      <c r="K48" s="75">
        <f>IF(H48=21%, C48*I48, 0)</f>
        <v>0</v>
      </c>
      <c r="L48" s="76"/>
      <c r="M48" s="77">
        <f t="shared" ref="M48" si="43">SUM(L48*C48)</f>
        <v>0</v>
      </c>
      <c r="N48" s="5">
        <f t="shared" ref="N48" si="44">SUM(I48+L48)</f>
        <v>0</v>
      </c>
      <c r="O48" s="6">
        <f t="shared" ref="O48" si="45">SUM(J48+K48+M48)</f>
        <v>0</v>
      </c>
    </row>
    <row r="49" spans="1:18" ht="13.5" customHeight="1" x14ac:dyDescent="0.2">
      <c r="A49" s="132"/>
      <c r="B49" s="133"/>
      <c r="C49" s="30"/>
      <c r="E49" s="140"/>
      <c r="F49" s="141"/>
      <c r="G49" s="142"/>
      <c r="H49" s="8"/>
      <c r="I49" s="78"/>
      <c r="J49" s="74">
        <f>IF(H49=10%, C49*I49, 0)</f>
        <v>0</v>
      </c>
      <c r="K49" s="75">
        <f>IF(H49=21%, C49*I49, 0)</f>
        <v>0</v>
      </c>
      <c r="L49" s="76"/>
      <c r="M49" s="77">
        <f t="shared" si="24"/>
        <v>0</v>
      </c>
      <c r="N49" s="5">
        <f t="shared" si="42"/>
        <v>0</v>
      </c>
      <c r="O49" s="6">
        <f t="shared" si="39"/>
        <v>0</v>
      </c>
      <c r="R49" s="120"/>
    </row>
    <row r="50" spans="1:18" ht="13.5" customHeight="1" x14ac:dyDescent="0.2">
      <c r="A50" s="132"/>
      <c r="B50" s="133"/>
      <c r="C50" s="30"/>
      <c r="D50" s="15"/>
      <c r="E50" s="112" t="s">
        <v>35</v>
      </c>
      <c r="F50" s="113"/>
      <c r="G50" s="114"/>
      <c r="H50" s="3"/>
      <c r="I50" s="78"/>
      <c r="J50" s="74">
        <f t="shared" si="40"/>
        <v>0</v>
      </c>
      <c r="K50" s="75">
        <f t="shared" si="41"/>
        <v>0</v>
      </c>
      <c r="L50" s="76"/>
      <c r="M50" s="77">
        <f t="shared" si="24"/>
        <v>0</v>
      </c>
      <c r="N50" s="5">
        <f t="shared" si="42"/>
        <v>0</v>
      </c>
      <c r="O50" s="6">
        <f t="shared" si="39"/>
        <v>0</v>
      </c>
      <c r="P50" s="104"/>
      <c r="Q50" s="104"/>
    </row>
    <row r="51" spans="1:18" ht="13.5" customHeight="1" x14ac:dyDescent="0.2">
      <c r="A51" s="132"/>
      <c r="B51" s="133"/>
      <c r="C51" s="30"/>
      <c r="D51" s="15"/>
      <c r="E51" s="112" t="s">
        <v>46</v>
      </c>
      <c r="F51" s="113"/>
      <c r="G51" s="114"/>
      <c r="H51" s="3"/>
      <c r="I51" s="78"/>
      <c r="J51" s="74">
        <f>IF(H51=10%, C51*I51, 0)</f>
        <v>0</v>
      </c>
      <c r="K51" s="75">
        <f>IF(H51=21%, C51*I51, 0)</f>
        <v>0</v>
      </c>
      <c r="L51" s="76"/>
      <c r="M51" s="77">
        <f t="shared" si="24"/>
        <v>0</v>
      </c>
      <c r="N51" s="5">
        <f t="shared" si="42"/>
        <v>0</v>
      </c>
      <c r="O51" s="6">
        <f t="shared" si="39"/>
        <v>0</v>
      </c>
    </row>
    <row r="52" spans="1:18" ht="13.5" customHeight="1" x14ac:dyDescent="0.2">
      <c r="A52" s="33"/>
      <c r="B52" s="32"/>
      <c r="C52" s="31"/>
      <c r="D52" s="15"/>
      <c r="E52" s="31" t="s">
        <v>47</v>
      </c>
      <c r="H52" s="34" t="s">
        <v>38</v>
      </c>
      <c r="I52" s="79"/>
      <c r="J52" s="75">
        <f>SUM($J$24:$J$51)</f>
        <v>-222.53999999999991</v>
      </c>
      <c r="K52" s="75"/>
      <c r="L52" s="76"/>
      <c r="M52" s="75"/>
      <c r="N52" s="5"/>
      <c r="O52" s="9">
        <f>SUM($J$24:$J$51)/1.1</f>
        <v>-202.3090909090908</v>
      </c>
      <c r="P52" s="104"/>
    </row>
    <row r="53" spans="1:18" ht="13.5" customHeight="1" x14ac:dyDescent="0.2">
      <c r="A53" s="33"/>
      <c r="B53" s="32"/>
      <c r="C53" s="30"/>
      <c r="D53" s="15"/>
      <c r="E53" s="31" t="s">
        <v>48</v>
      </c>
      <c r="H53" s="34" t="s">
        <v>39</v>
      </c>
      <c r="I53" s="79"/>
      <c r="J53" s="73"/>
      <c r="K53" s="75">
        <f>SUM($K$25:$K$51)</f>
        <v>0</v>
      </c>
      <c r="L53" s="76"/>
      <c r="M53" s="75"/>
      <c r="N53" s="10"/>
      <c r="O53" s="9">
        <f>SUM($K$23:$K$51)/1.21</f>
        <v>0</v>
      </c>
    </row>
    <row r="54" spans="1:18" ht="13.5" customHeight="1" x14ac:dyDescent="0.2">
      <c r="A54" s="33"/>
      <c r="B54" s="32"/>
      <c r="C54" s="30"/>
      <c r="D54" s="15"/>
      <c r="E54" s="31" t="s">
        <v>49</v>
      </c>
      <c r="H54" s="34" t="s">
        <v>29</v>
      </c>
      <c r="I54" s="79"/>
      <c r="J54" s="75"/>
      <c r="K54" s="75"/>
      <c r="L54" s="76">
        <f>SUM($L$31:$L$52)</f>
        <v>0</v>
      </c>
      <c r="M54" s="77">
        <f>SUM($M$31:$M$51)</f>
        <v>0</v>
      </c>
      <c r="N54" s="10"/>
      <c r="O54" s="6">
        <f>SUM($M$31:$M$51)</f>
        <v>0</v>
      </c>
    </row>
    <row r="55" spans="1:18" ht="13.5" customHeight="1" x14ac:dyDescent="0.2">
      <c r="A55" s="33"/>
      <c r="B55" s="32"/>
      <c r="C55" s="30"/>
      <c r="D55" s="15"/>
      <c r="E55" s="31" t="s">
        <v>33</v>
      </c>
      <c r="H55" s="35" t="s">
        <v>40</v>
      </c>
      <c r="I55" s="79"/>
      <c r="J55" s="75"/>
      <c r="K55" s="75"/>
      <c r="L55" s="76"/>
      <c r="M55" s="77"/>
      <c r="N55" s="10"/>
      <c r="O55" s="6">
        <f>+O52*0.1</f>
        <v>-20.23090909090908</v>
      </c>
    </row>
    <row r="56" spans="1:18" ht="13.5" customHeight="1" x14ac:dyDescent="0.2">
      <c r="A56" s="33"/>
      <c r="B56" s="32"/>
      <c r="C56" s="30"/>
      <c r="D56" s="15"/>
      <c r="E56" s="31" t="s">
        <v>34</v>
      </c>
      <c r="H56" s="35" t="s">
        <v>41</v>
      </c>
      <c r="I56" s="79"/>
      <c r="J56" s="75"/>
      <c r="K56" s="75"/>
      <c r="L56" s="76"/>
      <c r="M56" s="77"/>
      <c r="N56" s="10"/>
      <c r="O56" s="6">
        <f>+O53*0.21</f>
        <v>0</v>
      </c>
    </row>
    <row r="57" spans="1:18" ht="13.5" customHeight="1" thickBot="1" x14ac:dyDescent="0.25">
      <c r="A57" s="36"/>
      <c r="B57" s="37"/>
      <c r="C57" s="38"/>
      <c r="D57" s="39"/>
      <c r="E57" s="40" t="s">
        <v>50</v>
      </c>
      <c r="F57" s="41"/>
      <c r="G57" s="41"/>
      <c r="H57" s="42" t="s">
        <v>21</v>
      </c>
      <c r="I57" s="80"/>
      <c r="J57" s="81"/>
      <c r="K57" s="81"/>
      <c r="L57" s="82"/>
      <c r="M57" s="83"/>
      <c r="N57" s="11"/>
      <c r="O57" s="12">
        <f>SUM(O52:O56)</f>
        <v>-222.53999999999988</v>
      </c>
    </row>
  </sheetData>
  <mergeCells count="39">
    <mergeCell ref="A25:B25"/>
    <mergeCell ref="A27:B27"/>
    <mergeCell ref="A29:B29"/>
    <mergeCell ref="G20:H20"/>
    <mergeCell ref="E18:F18"/>
    <mergeCell ref="E19:F19"/>
    <mergeCell ref="A18:D18"/>
    <mergeCell ref="A19:D19"/>
    <mergeCell ref="A20:D20"/>
    <mergeCell ref="E20:F20"/>
    <mergeCell ref="E21:G21"/>
    <mergeCell ref="E22:G22"/>
    <mergeCell ref="E23:G23"/>
    <mergeCell ref="E27:G27"/>
    <mergeCell ref="A50:B50"/>
    <mergeCell ref="A51:B51"/>
    <mergeCell ref="A41:B41"/>
    <mergeCell ref="A42:B42"/>
    <mergeCell ref="A43:B43"/>
    <mergeCell ref="A44:B44"/>
    <mergeCell ref="A45:B45"/>
    <mergeCell ref="A47:B47"/>
    <mergeCell ref="A46:B46"/>
    <mergeCell ref="A49:B49"/>
    <mergeCell ref="E46:G46"/>
    <mergeCell ref="E49:G49"/>
    <mergeCell ref="A31:B31"/>
    <mergeCell ref="A32:B32"/>
    <mergeCell ref="E41:G41"/>
    <mergeCell ref="E42:G42"/>
    <mergeCell ref="E40:G40"/>
    <mergeCell ref="A33:B33"/>
    <mergeCell ref="A36:B36"/>
    <mergeCell ref="E37:G37"/>
    <mergeCell ref="A30:B30"/>
    <mergeCell ref="E34:G34"/>
    <mergeCell ref="A34:B34"/>
    <mergeCell ref="A39:B39"/>
    <mergeCell ref="E31:G31"/>
  </mergeCells>
  <phoneticPr fontId="0" type="noConversion"/>
  <printOptions horizontalCentered="1"/>
  <pageMargins left="0.43307086614173229" right="0.43307086614173229" top="0.59055118110236227" bottom="0.59055118110236227" header="0.39370078740157483" footer="0.39370078740157483"/>
  <pageSetup paperSize="9" orientation="portrait" r:id="rId1"/>
  <headerFooter alignWithMargins="0">
    <oddFooter>&amp;R&amp;P/&amp;N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CB.Trainee</dc:creator>
  <cp:lastModifiedBy>Gemma Rafols - Hilton Barcelona</cp:lastModifiedBy>
  <cp:lastPrinted>2025-07-07T09:20:15Z</cp:lastPrinted>
  <dcterms:created xsi:type="dcterms:W3CDTF">1997-04-22T09:53:15Z</dcterms:created>
  <dcterms:modified xsi:type="dcterms:W3CDTF">2025-07-30T09:03:40Z</dcterms:modified>
</cp:coreProperties>
</file>